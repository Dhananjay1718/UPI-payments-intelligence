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ede21901a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ecfd41aec264692"/>
    <x:sheet xmlns:r="http://schemas.openxmlformats.org/officeDocument/2006/relationships" name="Scenario" sheetId="2" r:id="Rd14160daefce433e"/>
    <x:sheet xmlns:r="http://schemas.openxmlformats.org/officeDocument/2006/relationships" name="Monthly" sheetId="3" r:id="R06e4b9476fdb49f7"/>
    <x:sheet xmlns:r="http://schemas.openxmlformats.org/officeDocument/2006/relationships" name="Merchants" sheetId="4" r:id="Re58bbe9fde3a4cfa"/>
    <x:sheet xmlns:r="http://schemas.openxmlformats.org/officeDocument/2006/relationships" name="Bank sample" sheetId="5" r:id="R40e045fd77504009"/>
    <x:sheet xmlns:r="http://schemas.openxmlformats.org/officeDocument/2006/relationships" name="Geography" sheetId="6" r:id="Rf9d5d475a611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mmm yyyy"/>
    <x:numFmt numFmtId="201" formatCode="#,##0.00"/>
    <x:numFmt numFmtId="202" formatCode="0.0%"/>
    <x:numFmt numFmtId="203" formatCode="0.00"/>
    <x:numFmt numFmtId="204" formatCode="#,##0.0"/>
    <x:numFmt numFmtId="205" formatCode="0.00%"/>
    <x:numFmt numFmtId="206" formatCode="0.000"/>
    <x:numFmt numFmtId="207" formatCode="#,##0"/>
    <x:numFmt numFmtId="208" formatCode="0.0"/>
  </x:numFmts>
  <x:fonts count="8">
    <x:font>
      <x:sz val="11"/>
      <x:name val="Carlito"/>
    </x:font>
    <x:font>
      <x:sz val="10"/>
      <x:color rgb="FF142B45"/>
      <x:name val="Arial"/>
    </x:font>
    <x:font>
      <x:b/>
      <x:sz val="16"/>
      <x:color rgb="FF142B45"/>
      <x:name val="Arial"/>
    </x:font>
    <x:font>
      <x:sz val="9"/>
      <x:color rgb="FF64748B"/>
      <x:name val="Arial"/>
    </x:font>
    <x:font>
      <x:b/>
      <x:sz val="10"/>
      <x:color rgb="FFFFFFFF"/>
      <x:name val="Arial"/>
    </x:font>
    <x:font>
      <x:b/>
      <x:sz val="10"/>
      <x:color rgb="FF142B45"/>
      <x:name val="Arial"/>
    </x:font>
    <x:font>
      <x:b/>
      <x:sz val="16"/>
      <x:color rgb="FF2A70B8"/>
      <x:name val="Arial"/>
    </x:font>
    <x:font>
      <x:sz val="10"/>
      <x:color rgb="FF6474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2B45"/>
      </x:patternFill>
    </x:fill>
    <x:fill>
      <x:patternFill patternType="solid">
        <x:fgColor rgb="FFFFF1CF"/>
      </x:patternFill>
    </x:fill>
    <x:fill>
      <x:patternFill patternType="solid">
        <x:fgColor rgb="FFEDF3F9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/>
    </x:xf>
    <x:xf numFmtId="205" fontId="5" fillId="4" borderId="0" xfId="0" applyNumberFormat="1" applyFont="1" applyFill="1" applyBorder="1" applyAlignment="1">
      <x:alignment vertical="center"/>
    </x:xf>
    <x:xf numFmtId="206" fontId="5" fillId="4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7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8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color rgb="FFB14A25"/>
      </x:font>
      <x:fill>
        <x:patternFill>
          <x:bgColor rgb="FFFFF1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ccf3afb4a4975" /><Relationship Type="http://schemas.openxmlformats.org/officeDocument/2006/relationships/theme" Target="/xl/theme/theme1.xml" Id="R31a50dd055a54d6d" /><Relationship Type="http://schemas.openxmlformats.org/officeDocument/2006/relationships/sharedStrings" Target="/xl/sharedStrings.xml" Id="R89ab6ed7056e4ea5" /><Relationship Type="http://schemas.openxmlformats.org/officeDocument/2006/relationships/worksheet" Target="/xl/worksheets/sheet1.xml" Id="R9ecfd41aec264692" /><Relationship Type="http://schemas.openxmlformats.org/officeDocument/2006/relationships/worksheet" Target="/xl/worksheets/sheet2.xml" Id="Rd14160daefce433e" /><Relationship Type="http://schemas.openxmlformats.org/officeDocument/2006/relationships/worksheet" Target="/xl/worksheets/sheet3.xml" Id="R06e4b9476fdb49f7" /><Relationship Type="http://schemas.openxmlformats.org/officeDocument/2006/relationships/worksheet" Target="/xl/worksheets/sheet4.xml" Id="Re58bbe9fde3a4cfa" /><Relationship Type="http://schemas.openxmlformats.org/officeDocument/2006/relationships/worksheet" Target="/xl/worksheets/sheet5.xml" Id="R40e045fd77504009" /><Relationship Type="http://schemas.openxmlformats.org/officeDocument/2006/relationships/worksheet" Target="/xl/worksheets/sheet6.xml" Id="Rf9d5d475a61146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a5ff09a2f44c91" /><Relationship Type="http://schemas.openxmlformats.org/officeDocument/2006/relationships/chart" Target="/xl/drawings/charts/chart2.xml" Id="Rbc1c1ff7cd3342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National volume (billion)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Volume (bn)</c:v>
          </c:tx>
          <c:spPr>
            <a:ln xmlns:a="http://schemas.openxmlformats.org/drawingml/2006/main" w="19050">
              <a:solidFill>
                <a:srgbClr val="2A70B8"/>
              </a:solidFill>
              <a:prstDash val="solid"/>
            </a:ln>
          </c:spPr>
          <c:marker>
            <c:symbol val="none"/>
          </c:marker>
          <c:cat>
            <c:strRef>
              <c:f>'Overview'!$A$15:$A$26</c:f>
              <c:strCache>
                <c:ptCount val="0"/>
              </c:strCache>
            </c:strRef>
          </c:cat>
          <c:val>
            <c:numRef>
              <c:f>'Overview'!$B$15:$B$26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Selected merchant volume (million)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Volume (mn)</c:v>
          </c:tx>
          <c:spPr>
            <a:solidFill xmlns:a="http://schemas.openxmlformats.org/drawingml/2006/main">
              <a:srgbClr val="2A70B8"/>
            </a:solidFill>
          </c:spPr>
          <c:cat>
            <c:strRef>
              <c:f>'Overview'!$A$32:$A$39</c:f>
              <c:strCache>
                <c:ptCount val="0"/>
              </c:strCache>
            </c:strRef>
          </c:cat>
          <c:val>
            <c:numRef>
              <c:f>'Overview'!$B$32:$B$39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a5ff09a2f44c9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15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1c1ff7cd3342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Data" displayName="MonthlyData" ref="A5:J53" headerRowCount="1" totalsRowCount="0" totalsRowShown="0">
  <x:tableColumns count="10">
    <x:tableColumn id="1" name="Month"/>
    <x:tableColumn id="2" name="Volume (mn)"/>
    <x:tableColumn id="3" name="Value (INR cr)"/>
    <x:tableColumn id="4" name="Days"/>
    <x:tableColumn id="5" name="Daily volume (mn)"/>
    <x:tableColumn id="6" name="Ticket (INR)"/>
    <x:tableColumn id="7" name="MoM volume"/>
    <x:tableColumn id="8" name="MoM daily"/>
    <x:tableColumn id="9" name="YoY volume"/>
    <x:tableColumn id="10" name="Source pr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rchantData" displayName="MerchantData" ref="A5:H34" headerRowCount="1" totalsRowCount="0" totalsRowShown="0">
  <x:tableColumns count="8">
    <x:tableColumn id="1" name="MCC"/>
    <x:tableColumn id="2" name="Merchant category"/>
    <x:tableColumn id="3" name="Volume (mn)"/>
    <x:tableColumn id="4" name="Value (INR cr)"/>
    <x:tableColumn id="5" name="Ticket (INR)"/>
    <x:tableColumn id="6" name="Reported MoM"/>
    <x:tableColumn id="7" name="Observed share"/>
    <x:tableColumn id="8" name="Reported Yo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nkSampleData" displayName="BankSampleData" ref="A5:F17" headerRowCount="1" totalsRowCount="0" totalsRowShown="0">
  <x:tableColumns count="6">
    <x:tableColumn id="1" name="Role"/>
    <x:tableColumn id="2" name="Bank"/>
    <x:tableColumn id="3" name="Attempts (mn)"/>
    <x:tableColumn id="4" name="TD rate"/>
    <x:tableColumn id="5" name="Est. declines (mn)"/>
    <x:tableColumn id="6" name="Observ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eData" displayName="StateData" ref="A5:F42" headerRowCount="1" totalsRowCount="0" totalsRowShown="0">
  <x:tableColumns count="6">
    <x:tableColumn id="1" name="State / territory"/>
    <x:tableColumn id="2" name="Volume (mn)"/>
    <x:tableColumn id="3" name="Value (INR cr)"/>
    <x:tableColumn id="4" name="National share"/>
    <x:tableColumn id="5" name="Reported share"/>
    <x:tableColumn id="6" name="Ticket (IN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ff2fb8e2ca43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16326bbc0374a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834f0f2a0fc4e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2f88c70d6c140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4e53b5f8e0147d0" /></Relationships>
</file>

<file path=xl/worksheets/sheet1.xml><?xml version="1.0" encoding="utf-8"?>
<x:worksheet xmlns:x="http://schemas.openxmlformats.org/spreadsheetml/2006/main">
  <x:sheetPr>
    <x:tabColor rgb="FF142B45"/>
  </x:sheetPr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UPI Payments Intelligence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2" t="str">
        <x:v>Latest observation</x:v>
      </x:c>
      <x:c r="B4" s="2"/>
      <x:c r="C4" s="2"/>
      <x:c r="D4" s="9" t="n">
        <x:f>'Monthly'!A53</x:f>
        <x:v>46235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3" customHeight="1">
      <x:c r="A6" s="2" t="str">
        <x:v>National volume (billion)</x:v>
      </x:c>
      <x:c r="B6" s="2"/>
      <x:c r="C6" s="2"/>
      <x:c r="D6" s="25" t="n">
        <x:f>'Monthly'!L53</x:f>
        <x:v>24.50896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3" customHeight="1">
      <x:c r="A7" s="2" t="str">
        <x:v>Average ticket (INR)</x:v>
      </x:c>
      <x:c r="B7" s="2"/>
      <x:c r="C7" s="2"/>
      <x:c r="D7" s="26" t="n">
        <x:f>'Monthly'!F53</x:f>
        <x:v>1216.8431259425124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3" customHeight="1">
      <x:c r="A8" s="2" t="str">
        <x:v>Volume growth YoY</x:v>
      </x:c>
      <x:c r="B8" s="2"/>
      <x:c r="C8" s="2"/>
      <x:c r="D8" s="27" t="n">
        <x:f>'Monthly'!I53</x:f>
        <x:v>0.22483558220889543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23" customHeight="1">
      <x:c r="A9" s="2" t="str">
        <x:v>Daily volume (million)</x:v>
      </x:c>
      <x:c r="B9" s="2"/>
      <x:c r="C9" s="2"/>
      <x:c r="D9" s="28" t="n">
        <x:f>'Monthly'!E53</x:f>
        <x:v>790.6116129032258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3" customHeight="1">
      <x:c r="A10" s="2" t="str">
        <x:v>Unclassified state share</x:v>
      </x:c>
      <x:c r="B10" s="2"/>
      <x:c r="C10" s="2"/>
      <x:c r="D10" s="27" t="n">
        <x:f>'Geography'!D42</x:f>
        <x:v>0.4439192850288221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23" customHeight="1">
      <x:c r="A12" s="2" t="str">
        <x:v>Latest 12 months; full history on Monthly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35" customHeight="1">
      <x:c r="A14" s="8" t="str">
        <x:v>Month</x:v>
      </x:c>
      <x:c r="B14" s="8" t="str">
        <x:v>Volume (bn)</x:v>
      </x:c>
      <x:c r="C14" s="8" t="str">
        <x:v>Ticket (INR)</x:v>
      </x:c>
      <x:c r="D14" s="8" t="str">
        <x:v>MoM volume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3" customHeight="1">
      <x:c r="A15" s="2" t="str">
        <x:f>'Monthly'!K42</x:f>
        <x:v>Sep 25</x:v>
      </x:c>
      <x:c r="B15" s="12" t="n">
        <x:f>'Monthly'!L42</x:f>
        <x:v>19.63</x:v>
      </x:c>
      <x:c r="C15" s="17" t="n">
        <x:f>'Monthly'!F42</x:f>
        <x:v>1268.4666327050434</x:v>
      </x:c>
      <x:c r="D15" s="11" t="n">
        <x:f>'Monthly'!G42</x:f>
        <x:v>-0.018990504747626202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3" customHeight="1">
      <x:c r="A16" s="2" t="str">
        <x:f>'Monthly'!K43</x:f>
        <x:v>Oct 25</x:v>
      </x:c>
      <x:c r="B16" s="12" t="n">
        <x:f>'Monthly'!L43</x:f>
        <x:v>20.7</x:v>
      </x:c>
      <x:c r="C16" s="17" t="n">
        <x:f>'Monthly'!F43</x:f>
        <x:v>1317.8743961352657</x:v>
      </x:c>
      <x:c r="D16" s="11" t="n">
        <x:f>'Monthly'!G43</x:f>
        <x:v>0.05450840550178304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3" customHeight="1">
      <x:c r="A17" s="2" t="str">
        <x:f>'Monthly'!K44</x:f>
        <x:v>Nov 25</x:v>
      </x:c>
      <x:c r="B17" s="12" t="n">
        <x:f>'Monthly'!L44</x:f>
        <x:v>20.47</x:v>
      </x:c>
      <x:c r="C17" s="17" t="n">
        <x:f>'Monthly'!F44</x:f>
        <x:v>1285.7840742550072</x:v>
      </x:c>
      <x:c r="D17" s="11" t="n">
        <x:f>'Monthly'!G44</x:f>
        <x:v>-0.011111111111111072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3" customHeight="1">
      <x:c r="A18" s="2" t="str">
        <x:f>'Monthly'!K45</x:f>
        <x:v>Dec 25</x:v>
      </x:c>
      <x:c r="B18" s="12" t="n">
        <x:f>'Monthly'!L45</x:f>
        <x:v>21.63</x:v>
      </x:c>
      <x:c r="C18" s="17" t="n">
        <x:f>'Monthly'!F45</x:f>
        <x:v>1293.1114193250116</x:v>
      </x:c>
      <x:c r="D18" s="11" t="n">
        <x:f>'Monthly'!G45</x:f>
        <x:v>0.05666829506595028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3" customHeight="1">
      <x:c r="A19" s="2" t="str">
        <x:f>'Monthly'!K46</x:f>
        <x:v>Jan 26</x:v>
      </x:c>
      <x:c r="B19" s="12" t="n">
        <x:f>'Monthly'!L46</x:f>
        <x:v>21.7</x:v>
      </x:c>
      <x:c r="C19" s="17" t="n">
        <x:f>'Monthly'!F46</x:f>
        <x:v>1305.5299539170508</x:v>
      </x:c>
      <x:c r="D19" s="11" t="n">
        <x:f>'Monthly'!G46</x:f>
        <x:v>0.003236245954692629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3" customHeight="1">
      <x:c r="A20" s="2" t="str">
        <x:f>'Monthly'!K47</x:f>
        <x:v>Feb 26</x:v>
      </x:c>
      <x:c r="B20" s="12" t="n">
        <x:f>'Monthly'!L47</x:f>
        <x:v>20.39</x:v>
      </x:c>
      <x:c r="C20" s="17" t="n">
        <x:f>'Monthly'!F47</x:f>
        <x:v>1316.331535066209</x:v>
      </x:c>
      <x:c r="D20" s="11" t="n">
        <x:f>'Monthly'!G47</x:f>
        <x:v>-0.06036866359447002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3" customHeight="1">
      <x:c r="A21" s="2" t="str">
        <x:f>'Monthly'!K48</x:f>
        <x:v>Mar 26</x:v>
      </x:c>
      <x:c r="B21" s="12" t="n">
        <x:f>'Monthly'!L48</x:f>
        <x:v>22.64</x:v>
      </x:c>
      <x:c r="C21" s="17" t="n">
        <x:f>'Monthly'!F48</x:f>
        <x:v>1304.3286219081272</x:v>
      </x:c>
      <x:c r="D21" s="11" t="n">
        <x:f>'Monthly'!G48</x:f>
        <x:v>0.11034820990681715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3" customHeight="1">
      <x:c r="A22" s="2" t="str">
        <x:f>'Monthly'!K49</x:f>
        <x:v>Apr 26</x:v>
      </x:c>
      <x:c r="B22" s="12" t="n">
        <x:f>'Monthly'!L49</x:f>
        <x:v>22.346799999999998</x:v>
      </x:c>
      <x:c r="C22" s="17" t="n">
        <x:f>'Monthly'!F49</x:f>
        <x:v>1299.0620804768469</x:v>
      </x:c>
      <x:c r="D22" s="11" t="n">
        <x:f>'Monthly'!G49</x:f>
        <x:v>-0.01295053003533575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3" customHeight="1">
      <x:c r="A23" s="2" t="str">
        <x:f>'Monthly'!K50</x:f>
        <x:v>May 26</x:v>
      </x:c>
      <x:c r="B23" s="12" t="n">
        <x:f>'Monthly'!L50</x:f>
        <x:v>23.20193</x:v>
      </x:c>
      <x:c r="C23" s="17" t="n">
        <x:f>'Monthly'!F50</x:f>
        <x:v>1288.868732040826</x:v>
      </x:c>
      <x:c r="D23" s="11" t="n">
        <x:f>'Monthly'!G50</x:f>
        <x:v>0.03826632895985105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23" customHeight="1">
      <x:c r="A24" s="2" t="str">
        <x:f>'Monthly'!K51</x:f>
        <x:v>Jun 26</x:v>
      </x:c>
      <x:c r="B24" s="12" t="n">
        <x:f>'Monthly'!L51</x:f>
        <x:v>22.71607</x:v>
      </x:c>
      <x:c r="C24" s="17" t="n">
        <x:f>'Monthly'!F51</x:f>
        <x:v>1273.1685850589472</x:v>
      </x:c>
      <x:c r="D24" s="11" t="n">
        <x:f>'Monthly'!G51</x:f>
        <x:v>-0.02094049934639064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3" customHeight="1">
      <x:c r="A25" s="2" t="str">
        <x:f>'Monthly'!K52</x:f>
        <x:v>Jul 26</x:v>
      </x:c>
      <x:c r="B25" s="12" t="n">
        <x:f>'Monthly'!L52</x:f>
        <x:v>23.65835</x:v>
      </x:c>
      <x:c r="C25" s="17" t="n">
        <x:f>'Monthly'!F52</x:f>
        <x:v>1262.9285178383109</x:v>
      </x:c>
      <x:c r="D25" s="11" t="n">
        <x:f>'Monthly'!G52</x:f>
        <x:v>0.04148076669952139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3" customHeight="1">
      <x:c r="A26" s="2" t="str">
        <x:f>'Monthly'!K53</x:f>
        <x:v>Aug 26</x:v>
      </x:c>
      <x:c r="B26" s="12" t="n">
        <x:f>'Monthly'!L53</x:f>
        <x:v>24.50896</x:v>
      </x:c>
      <x:c r="C26" s="17" t="n">
        <x:f>'Monthly'!F53</x:f>
        <x:v>1216.8431259425124</x:v>
      </x:c>
      <x:c r="D26" s="11" t="n">
        <x:f>'Monthly'!G53</x:f>
        <x:v>0.0359539021106714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3" customHeight="1">
      <x:c r="A29" s="2" t="str">
        <x:v>Selected largest merchant categories (August 2026)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35" customHeight="1">
      <x:c r="A31" s="8" t="str">
        <x:v>Category</x:v>
      </x:c>
      <x:c r="B31" s="8" t="str">
        <x:v>Volume (mn)</x:v>
      </x:c>
      <x:c r="C31" s="8" t="str">
        <x:v>Ticket (INR)</x:v>
      </x:c>
      <x:c r="D31" s="8" t="str">
        <x:v>MoM volume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3" customHeight="1">
      <x:c r="A32" s="2" t="str">
        <x:v>Groceries</x:v>
      </x:c>
      <x:c r="B32" s="17" t="n">
        <x:f>'Merchants'!C6</x:f>
        <x:v>4000</x:v>
      </x:c>
      <x:c r="C32" s="17" t="n">
        <x:f>'Merchants'!E6</x:f>
        <x:v>217.205</x:v>
      </x:c>
      <x:c r="D32" s="11" t="n">
        <x:f>'Merchants'!F6</x:f>
        <x:v>0.039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3" customHeight="1">
      <x:c r="A33" s="2" t="str">
        <x:v>Fast food</x:v>
      </x:c>
      <x:c r="B33" s="17" t="n">
        <x:f>'Merchants'!C7</x:f>
        <x:v>1520</x:v>
      </x:c>
      <x:c r="C33" s="17" t="n">
        <x:f>'Merchants'!E7</x:f>
        <x:v>121.75657894736842</x:v>
      </x:c>
      <x:c r="D33" s="11" t="n">
        <x:f>'Merchants'!F7</x:f>
        <x:v>0.026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3" customHeight="1">
      <x:c r="A34" s="2" t="str">
        <x:v>Restaurants</x:v>
      </x:c>
      <x:c r="B34" s="17" t="n">
        <x:f>'Merchants'!C8</x:f>
        <x:v>1300</x:v>
      </x:c>
      <x:c r="C34" s="17" t="n">
        <x:f>'Merchants'!E8</x:f>
        <x:v>174.33076923076922</x:v>
      </x:c>
      <x:c r="D34" s="11" t="n">
        <x:f>'Merchants'!F8</x:f>
        <x:v>0.024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23" customHeight="1">
      <x:c r="A35" s="2" t="str">
        <x:v>Telecom</x:v>
      </x:c>
      <x:c r="B35" s="17" t="n">
        <x:f>'Merchants'!C9</x:f>
        <x:v>817.8</x:v>
      </x:c>
      <x:c r="C35" s="17" t="n">
        <x:f>'Merchants'!E9</x:f>
        <x:v>284.44607483492297</x:v>
      </x:c>
      <x:c r="D35" s="11" t="n">
        <x:f>'Merchants'!F9</x:f>
        <x:v>-0.024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23" customHeight="1">
      <x:c r="A36" s="2" t="str">
        <x:v>Service stations</x:v>
      </x:c>
      <x:c r="B36" s="17" t="n">
        <x:f>'Merchants'!C10</x:f>
        <x:v>772.9</x:v>
      </x:c>
      <x:c r="C36" s="17" t="n">
        <x:f>'Merchants'!E10</x:f>
        <x:v>571.7816017596067</x:v>
      </x:c>
      <x:c r="D36" s="11" t="n">
        <x:f>'Merchants'!F10</x:f>
        <x:v>0.04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23" customHeight="1">
      <x:c r="A37" s="2" t="str">
        <x:v>Bakeries</x:v>
      </x:c>
      <x:c r="B37" s="17" t="n">
        <x:f>'Merchants'!C11</x:f>
        <x:v>515.4</x:v>
      </x:c>
      <x:c r="C37" s="17" t="n">
        <x:f>'Merchants'!E11</x:f>
        <x:v>140.2987970508343</x:v>
      </x:c>
      <x:c r="D37" s="11" t="n">
        <x:f>'Merchants'!F11</x:f>
        <x:v>0.083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3" customHeight="1">
      <x:c r="A38" s="2" t="str">
        <x:v>Cigar shops</x:v>
      </x:c>
      <x:c r="B38" s="17" t="n">
        <x:f>'Merchants'!C12</x:f>
        <x:v>470.5</x:v>
      </x:c>
      <x:c r="C38" s="17" t="n">
        <x:f>'Merchants'!E12</x:f>
        <x:v>64.99468650371945</x:v>
      </x:c>
      <x:c r="D38" s="11" t="n">
        <x:f>'Merchants'!F12</x:f>
        <x:v>0.06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3" customHeight="1">
      <x:c r="A39" s="2" t="str">
        <x:v>Pharmacies</x:v>
      </x:c>
      <x:c r="B39" s="17" t="n">
        <x:f>'Merchants'!C13</x:f>
        <x:v>335.9</x:v>
      </x:c>
      <x:c r="C39" s="17" t="n">
        <x:f>'Merchants'!E13</x:f>
        <x:v>412.80142899672524</x:v>
      </x:c>
      <x:c r="D39" s="11" t="n">
        <x:f>'Merchants'!F13</x:f>
        <x:v>0.077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23" customHeight="1">
      <x:c r="A41" s="29" t="str">
        <x:v>Review: improve geographic attribution before choosing territories; investigate high affected volume in the bank sample.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</x:sheetData>
  <x:pageMargins left="0.7" right="0.7" top="0.75" bottom="0.75" header="0.3" footer="0.3"/>
  <x:drawing xmlns:r="http://schemas.openxmlformats.org/officeDocument/2006/relationships" r:id="R72ff2fb8e2ca43b3"/>
</x:worksheet>
</file>

<file path=xl/worksheets/sheet2.xml><?xml version="1.0" encoding="utf-8"?>
<x:worksheet xmlns:x="http://schemas.openxmlformats.org/spreadsheetml/2006/main">
  <x:sheetPr>
    <x:tabColor rgb="FFDCA767"/>
  </x:sheetPr>
  <x:sheetViews>
    <x:sheetView showGridLines="0" workbookViewId="0"/>
  </x:sheetViews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0" customHeight="1">
      <x:c r="A2" s="3" t="str">
        <x:v>Technical decline scenario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2" t="str">
        <x:v>Target TD (basis points)</x:v>
      </x:c>
      <x:c r="B4" s="18" t="n">
        <x:v>50</x:v>
      </x:c>
      <x:c r="C4" s="2"/>
      <x:c r="D4" s="2" t="str">
        <x:v>100 basis points = 1 percentage point.</x:v>
      </x:c>
      <x:c r="E4" s="2"/>
      <x:c r="F4" s="2"/>
    </x:row>
    <x:row r="5" ht="23" customHeight="1">
      <x:c r="A5" s="2" t="str">
        <x:v>Reduction of excess declines (%)</x:v>
      </x:c>
      <x:c r="B5" s="18" t="n">
        <x:v>50</x:v>
      </x:c>
      <x:c r="C5" s="2"/>
      <x:c r="D5" s="2" t="str">
        <x:v>Analyst assumptions; edit amber cells.</x:v>
      </x:c>
      <x:c r="E5" s="2"/>
      <x:c r="F5" s="2"/>
    </x:row>
    <x:row r="6" ht="23" customHeight="1">
      <x:c r="A6" s="2"/>
      <x:c r="B6" s="2"/>
      <x:c r="C6" s="2"/>
      <x:c r="D6" s="2"/>
      <x:c r="E6" s="2"/>
      <x:c r="F6" s="2"/>
    </x:row>
    <x:row r="7" ht="23" customHeight="1">
      <x:c r="A7" s="4" t="str">
        <x:v>Hypothetical improvement within the displayed sending-bank sample. No actual recovered volume or revenue is claimed.</x:v>
      </x:c>
      <x:c r="B7" s="2"/>
      <x:c r="C7" s="2"/>
      <x:c r="D7" s="2"/>
      <x:c r="E7" s="2"/>
      <x:c r="F7" s="2"/>
    </x:row>
    <x:row r="8" ht="23" customHeight="1">
      <x:c r="A8" s="2"/>
      <x:c r="B8" s="2"/>
      <x:c r="C8" s="2"/>
      <x:c r="D8" s="2"/>
      <x:c r="E8" s="2"/>
      <x:c r="F8" s="2"/>
    </x:row>
    <x:row r="9" ht="35" customHeight="1">
      <x:c r="A9" s="8" t="str">
        <x:v>Sending bank</x:v>
      </x:c>
      <x:c r="B9" s="8" t="str">
        <x:v>Attempts (mn)</x:v>
      </x:c>
      <x:c r="C9" s="8" t="str">
        <x:v>Current TD</x:v>
      </x:c>
      <x:c r="D9" s="8" t="str">
        <x:v>Est. declines (mn)</x:v>
      </x:c>
      <x:c r="E9" s="8" t="str">
        <x:v>Above target (mn)</x:v>
      </x:c>
      <x:c r="F9" s="8" t="str">
        <x:v>Hypothetical avoided (mn)</x:v>
      </x:c>
    </x:row>
    <x:row r="10" ht="36" customHeight="1">
      <x:c r="A10" s="13" t="str">
        <x:f>'Bank sample'!B6</x:f>
        <x:v>Baroda U.P. Bank</x:v>
      </x:c>
      <x:c r="B10" s="14" t="n">
        <x:f>'Bank sample'!C6</x:f>
        <x:v>109.7</x:v>
      </x:c>
      <x:c r="C10" s="15" t="n">
        <x:f>'Bank sample'!D6</x:f>
        <x:v>0.0244</x:v>
      </x:c>
      <x:c r="D10" s="16" t="n">
        <x:f>'Bank sample'!E6</x:f>
        <x:v>2.67668</x:v>
      </x:c>
      <x:c r="E10" s="16" t="n">
        <x:f>B10*MAX(C10-$B$4/10000,0)</x:f>
        <x:v>2.12818</x:v>
      </x:c>
      <x:c r="F10" s="16" t="n">
        <x:f>E10*$B$5/100</x:f>
        <x:v>1.06409</x:v>
      </x:c>
    </x:row>
    <x:row r="11" ht="36" customHeight="1">
      <x:c r="A11" s="13" t="str">
        <x:f>'Bank sample'!B7</x:f>
        <x:v>Central Bank of India</x:v>
      </x:c>
      <x:c r="B11" s="14" t="n">
        <x:f>'Bank sample'!C7</x:f>
        <x:v>478.3</x:v>
      </x:c>
      <x:c r="C11" s="15" t="n">
        <x:f>'Bank sample'!D7</x:f>
        <x:v>0.0234</x:v>
      </x:c>
      <x:c r="D11" s="16" t="n">
        <x:f>'Bank sample'!E7</x:f>
        <x:v>11.19222</x:v>
      </x:c>
      <x:c r="E11" s="16" t="n">
        <x:f>B11*MAX(C11-$B$4/10000,0)</x:f>
        <x:v>8.80072</x:v>
      </x:c>
      <x:c r="F11" s="16" t="n">
        <x:f>E11*$B$5/100</x:f>
        <x:v>4.40036</x:v>
      </x:c>
    </x:row>
    <x:row r="12" ht="36" customHeight="1">
      <x:c r="A12" s="13" t="str">
        <x:f>'Bank sample'!B8</x:f>
        <x:v>Punjab and Sind Bank</x:v>
      </x:c>
      <x:c r="B12" s="14" t="n">
        <x:f>'Bank sample'!C8</x:f>
        <x:v>76.9</x:v>
      </x:c>
      <x:c r="C12" s="15" t="n">
        <x:f>'Bank sample'!D8</x:f>
        <x:v>0.0195</x:v>
      </x:c>
      <x:c r="D12" s="16" t="n">
        <x:f>'Bank sample'!E8</x:f>
        <x:v>1.4995500000000002</x:v>
      </x:c>
      <x:c r="E12" s="16" t="n">
        <x:f>B12*MAX(C12-$B$4/10000,0)</x:f>
        <x:v>1.11505</x:v>
      </x:c>
      <x:c r="F12" s="16" t="n">
        <x:f>E12*$B$5/100</x:f>
        <x:v>0.557525</x:v>
      </x:c>
    </x:row>
    <x:row r="13" ht="36" customHeight="1">
      <x:c r="A13" s="13" t="str">
        <x:f>'Bank sample'!B9</x:f>
        <x:v>Maharashtra Gramin Bank</x:v>
      </x:c>
      <x:c r="B13" s="14" t="n">
        <x:f>'Bank sample'!C9</x:f>
        <x:v>45.9</x:v>
      </x:c>
      <x:c r="C13" s="15" t="n">
        <x:f>'Bank sample'!D9</x:f>
        <x:v>0.0123</x:v>
      </x:c>
      <x:c r="D13" s="16" t="n">
        <x:f>'Bank sample'!E9</x:f>
        <x:v>0.56457</x:v>
      </x:c>
      <x:c r="E13" s="16" t="n">
        <x:f>B13*MAX(C13-$B$4/10000,0)</x:f>
        <x:v>0.33507</x:v>
      </x:c>
      <x:c r="F13" s="16" t="n">
        <x:f>E13*$B$5/100</x:f>
        <x:v>0.167535</x:v>
      </x:c>
    </x:row>
    <x:row r="14" ht="36" customHeight="1">
      <x:c r="A14" s="13" t="str">
        <x:f>'Bank sample'!B10</x:f>
        <x:v>Rajasthan Marudhara Gramin Bank</x:v>
      </x:c>
      <x:c r="B14" s="14" t="n">
        <x:f>'Bank sample'!C10</x:f>
        <x:v>78.5</x:v>
      </x:c>
      <x:c r="C14" s="15" t="n">
        <x:f>'Bank sample'!D10</x:f>
        <x:v>0.0118</x:v>
      </x:c>
      <x:c r="D14" s="16" t="n">
        <x:f>'Bank sample'!E10</x:f>
        <x:v>0.9263</x:v>
      </x:c>
      <x:c r="E14" s="16" t="n">
        <x:f>B14*MAX(C14-$B$4/10000,0)</x:f>
        <x:v>0.5337999999999999</x:v>
      </x:c>
      <x:c r="F14" s="16" t="n">
        <x:f>E14*$B$5/100</x:f>
        <x:v>0.26689999999999997</x:v>
      </x:c>
    </x:row>
    <x:row r="15" ht="36" customHeight="1">
      <x:c r="A15" s="13" t="str">
        <x:f>'Bank sample'!B11</x:f>
        <x:v>NSDL Payments Bank Limited</x:v>
      </x:c>
      <x:c r="B15" s="14" t="n">
        <x:f>'Bank sample'!C11</x:f>
        <x:v>85.1</x:v>
      </x:c>
      <x:c r="C15" s="15" t="n">
        <x:f>'Bank sample'!D11</x:f>
        <x:v>0.0117</x:v>
      </x:c>
      <x:c r="D15" s="16" t="n">
        <x:f>'Bank sample'!E11</x:f>
        <x:v>0.9956699999999999</x:v>
      </x:c>
      <x:c r="E15" s="16" t="n">
        <x:f>B15*MAX(C15-$B$4/10000,0)</x:f>
        <x:v>0.57017</x:v>
      </x:c>
      <x:c r="F15" s="16" t="n">
        <x:f>E15*$B$5/100</x:f>
        <x:v>0.285085</x:v>
      </x:c>
    </x:row>
    <x:row r="16" ht="23" customHeight="1">
      <x:c r="A16" s="2"/>
      <x:c r="B16" s="14"/>
      <x:c r="C16" s="15"/>
      <x:c r="D16" s="16"/>
      <x:c r="E16" s="16"/>
      <x:c r="F16" s="16"/>
    </x:row>
    <x:row r="17" ht="23" customHeight="1">
      <x:c r="A17" s="20" t="str">
        <x:v>Total displayed sample</x:v>
      </x:c>
      <x:c r="B17" s="21" t="n">
        <x:f>SUM(B10:B15)</x:f>
        <x:v>874.4</x:v>
      </x:c>
      <x:c r="C17" s="22" t="n">
        <x:f>SUM(D10:D15)/B17</x:f>
        <x:v>0.02041970494053065</x:v>
      </x:c>
      <x:c r="D17" s="23" t="n">
        <x:f>SUM(D10:D15)</x:f>
        <x:v>17.85499</x:v>
      </x:c>
      <x:c r="E17" s="23" t="n">
        <x:f>SUM(E10:E15)</x:f>
        <x:v>13.48299</x:v>
      </x:c>
      <x:c r="F17" s="23" t="n">
        <x:f>SUM(F10:F15)</x:f>
        <x:v>6.741495</x:v>
      </x:c>
    </x:row>
    <x:row r="18" ht="23" customHeight="1">
      <x:c r="A18" s="2"/>
      <x:c r="B18" s="2"/>
      <x:c r="C18" s="2"/>
      <x:c r="D18" s="2"/>
      <x:c r="E18" s="2"/>
      <x:c r="F18" s="2"/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</x:sheetData>
  <x:dataValidations count="2">
    <x:dataValidation type="whole" operator="between" sqref="B4">
      <x:formula1>0</x:formula1>
      <x:formula2>10000</x:formula2>
    </x:dataValidation>
    <x:dataValidation type="whole" operator="between" sqref="B5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4" hidden="0" customWidth="1"/>
    <x:col min="11" max="11" width="15" hidden="0" customWidth="1"/>
    <x:col min="12" max="12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Monthly network data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Sources: India Dispatch Research, monthly UPI table. Rounded history; https://data.indiadispatch.com/payments/upi-transactions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4" t="str">
        <x:v>Latest 5 months: NPCI https://www.npci.org.in/product/upi/product-statistics (verified 22 Sep 2026).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5" customHeight="1">
      <x:c r="A5" s="8" t="str">
        <x:v>Month</x:v>
      </x:c>
      <x:c r="B5" s="8" t="str">
        <x:v>Volume (mn)</x:v>
      </x:c>
      <x:c r="C5" s="8" t="str">
        <x:v>Value (INR cr)</x:v>
      </x:c>
      <x:c r="D5" s="8" t="str">
        <x:v>Days</x:v>
      </x:c>
      <x:c r="E5" s="8" t="str">
        <x:v>Daily volume (mn)</x:v>
      </x:c>
      <x:c r="F5" s="8" t="str">
        <x:v>Ticket (INR)</x:v>
      </x:c>
      <x:c r="G5" s="8" t="str">
        <x:v>MoM volume</x:v>
      </x:c>
      <x:c r="H5" s="8" t="str">
        <x:v>MoM daily</x:v>
      </x:c>
      <x:c r="I5" s="8" t="str">
        <x:v>YoY volume</x:v>
      </x:c>
      <x:c r="J5" s="8" t="str">
        <x:v>Source precision</x:v>
      </x:c>
      <x:c r="K5" s="8" t="str">
        <x:v>Chart month</x:v>
      </x:c>
      <x:c r="L5" s="8" t="str">
        <x:v>Volume (bn)</x:v>
      </x:c>
    </x:row>
    <x:row r="6" ht="23" customHeight="1">
      <x:c r="A6" s="9" t="n">
        <x:v>44805</x:v>
      </x:c>
      <x:c r="B6" s="10" t="n">
        <x:v>6780</x:v>
      </x:c>
      <x:c r="C6" s="10" t="n">
        <x:v>1116000</x:v>
      </x:c>
      <x:c r="D6" s="2" t="n">
        <x:f>DAY(EOMONTH(A6,0))</x:f>
        <x:v>30</x:v>
      </x:c>
      <x:c r="E6" s="10" t="n">
        <x:f>B6/D6</x:f>
        <x:v>226</x:v>
      </x:c>
      <x:c r="F6" s="10" t="n">
        <x:f>10*C6/B6</x:f>
        <x:v>1646.0176991150443</x:v>
      </x:c>
      <x:c r="G6" s="11" t="str">
        <x:f>""</x:f>
      </x:c>
      <x:c r="H6" s="11" t="str">
        <x:f>""</x:f>
      </x:c>
      <x:c r="I6" s="11" t="str">
        <x:f>""</x:f>
      </x:c>
      <x:c r="J6" s="2" t="str">
        <x:v>Secondary, rounded</x:v>
      </x:c>
      <x:c r="K6" s="2" t="str">
        <x:f>TEXT(A6,"mmm yy")</x:f>
        <x:v>Sep 22</x:v>
      </x:c>
      <x:c r="L6" s="12" t="n">
        <x:f>B6/1000</x:f>
        <x:v>6.78</x:v>
      </x:c>
    </x:row>
    <x:row r="7" ht="23" customHeight="1">
      <x:c r="A7" s="9" t="n">
        <x:v>44835</x:v>
      </x:c>
      <x:c r="B7" s="10" t="n">
        <x:v>7310</x:v>
      </x:c>
      <x:c r="C7" s="10" t="n">
        <x:v>1212000</x:v>
      </x:c>
      <x:c r="D7" s="2" t="n">
        <x:f>DAY(EOMONTH(A7,0))</x:f>
        <x:v>31</x:v>
      </x:c>
      <x:c r="E7" s="10" t="n">
        <x:f>B7/D7</x:f>
        <x:v>235.80645161290323</x:v>
      </x:c>
      <x:c r="F7" s="10" t="n">
        <x:f>10*C7/B7</x:f>
        <x:v>1658.0027359781122</x:v>
      </x:c>
      <x:c r="G7" s="11" t="n">
        <x:f>B7/B6-1</x:f>
        <x:v>0.07817109144542767</x:v>
      </x:c>
      <x:c r="H7" s="11" t="n">
        <x:f>E7/E6-1</x:f>
        <x:v>0.04339137881815591</x:v>
      </x:c>
      <x:c r="I7" s="11" t="str">
        <x:f>""</x:f>
      </x:c>
      <x:c r="J7" s="2" t="str">
        <x:v>Secondary, rounded</x:v>
      </x:c>
      <x:c r="K7" s="2" t="str">
        <x:f>TEXT(A7,"mmm yy")</x:f>
        <x:v>Oct 22</x:v>
      </x:c>
      <x:c r="L7" s="12" t="n">
        <x:f>B7/1000</x:f>
        <x:v>7.31</x:v>
      </x:c>
    </x:row>
    <x:row r="8" ht="23" customHeight="1">
      <x:c r="A8" s="9" t="n">
        <x:v>44866</x:v>
      </x:c>
      <x:c r="B8" s="10" t="n">
        <x:v>7310</x:v>
      </x:c>
      <x:c r="C8" s="10" t="n">
        <x:v>1191000</x:v>
      </x:c>
      <x:c r="D8" s="2" t="n">
        <x:f>DAY(EOMONTH(A8,0))</x:f>
        <x:v>30</x:v>
      </x:c>
      <x:c r="E8" s="10" t="n">
        <x:f>B8/D8</x:f>
        <x:v>243.66666666666666</x:v>
      </x:c>
      <x:c r="F8" s="10" t="n">
        <x:f>10*C8/B8</x:f>
        <x:v>1629.2749658002735</x:v>
      </x:c>
      <x:c r="G8" s="11" t="n">
        <x:f>B8/B7-1</x:f>
        <x:v>0</x:v>
      </x:c>
      <x:c r="H8" s="11" t="n">
        <x:f>E8/E7-1</x:f>
        <x:v>0.033333333333333215</x:v>
      </x:c>
      <x:c r="I8" s="11" t="str">
        <x:f>""</x:f>
      </x:c>
      <x:c r="J8" s="2" t="str">
        <x:v>Secondary, rounded</x:v>
      </x:c>
      <x:c r="K8" s="2" t="str">
        <x:f>TEXT(A8,"mmm yy")</x:f>
        <x:v>Nov 22</x:v>
      </x:c>
      <x:c r="L8" s="12" t="n">
        <x:f>B8/1000</x:f>
        <x:v>7.31</x:v>
      </x:c>
    </x:row>
    <x:row r="9" ht="23" customHeight="1">
      <x:c r="A9" s="9" t="n">
        <x:v>44896</x:v>
      </x:c>
      <x:c r="B9" s="10" t="n">
        <x:v>7830</x:v>
      </x:c>
      <x:c r="C9" s="10" t="n">
        <x:v>1282000</x:v>
      </x:c>
      <x:c r="D9" s="2" t="n">
        <x:f>DAY(EOMONTH(A9,0))</x:f>
        <x:v>31</x:v>
      </x:c>
      <x:c r="E9" s="10" t="n">
        <x:f>B9/D9</x:f>
        <x:v>252.58064516129033</x:v>
      </x:c>
      <x:c r="F9" s="10" t="n">
        <x:f>10*C9/B9</x:f>
        <x:v>1637.2924648786718</x:v>
      </x:c>
      <x:c r="G9" s="11" t="n">
        <x:f>B9/B8-1</x:f>
        <x:v>0.07113543091655261</x:v>
      </x:c>
      <x:c r="H9" s="11" t="n">
        <x:f>E9/E8-1</x:f>
        <x:v>0.03658267508053492</x:v>
      </x:c>
      <x:c r="I9" s="11" t="str">
        <x:f>""</x:f>
      </x:c>
      <x:c r="J9" s="2" t="str">
        <x:v>Secondary, rounded</x:v>
      </x:c>
      <x:c r="K9" s="2" t="str">
        <x:f>TEXT(A9,"mmm yy")</x:f>
        <x:v>Dec 22</x:v>
      </x:c>
      <x:c r="L9" s="12" t="n">
        <x:f>B9/1000</x:f>
        <x:v>7.83</x:v>
      </x:c>
    </x:row>
    <x:row r="10" ht="23" customHeight="1">
      <x:c r="A10" s="9" t="n">
        <x:v>44927</x:v>
      </x:c>
      <x:c r="B10" s="10" t="n">
        <x:v>8040</x:v>
      </x:c>
      <x:c r="C10" s="10" t="n">
        <x:v>1299000</x:v>
      </x:c>
      <x:c r="D10" s="2" t="n">
        <x:f>DAY(EOMONTH(A10,0))</x:f>
        <x:v>31</x:v>
      </x:c>
      <x:c r="E10" s="10" t="n">
        <x:f>B10/D10</x:f>
        <x:v>259.35483870967744</x:v>
      </x:c>
      <x:c r="F10" s="10" t="n">
        <x:f>10*C10/B10</x:f>
        <x:v>1615.6716417910447</x:v>
      </x:c>
      <x:c r="G10" s="11" t="n">
        <x:f>B10/B9-1</x:f>
        <x:v>0.026819923371647514</x:v>
      </x:c>
      <x:c r="H10" s="11" t="n">
        <x:f>E10/E9-1</x:f>
        <x:v>0.026819923371647514</x:v>
      </x:c>
      <x:c r="I10" s="11" t="str">
        <x:f>""</x:f>
      </x:c>
      <x:c r="J10" s="2" t="str">
        <x:v>Secondary, rounded</x:v>
      </x:c>
      <x:c r="K10" s="2" t="str">
        <x:f>TEXT(A10,"mmm yy")</x:f>
        <x:v>Jan 23</x:v>
      </x:c>
      <x:c r="L10" s="12" t="n">
        <x:f>B10/1000</x:f>
        <x:v>8.04</x:v>
      </x:c>
    </x:row>
    <x:row r="11" ht="23" customHeight="1">
      <x:c r="A11" s="9" t="n">
        <x:v>44958</x:v>
      </x:c>
      <x:c r="B11" s="10" t="n">
        <x:v>7530</x:v>
      </x:c>
      <x:c r="C11" s="10" t="n">
        <x:v>1236000</x:v>
      </x:c>
      <x:c r="D11" s="2" t="n">
        <x:f>DAY(EOMONTH(A11,0))</x:f>
        <x:v>28</x:v>
      </x:c>
      <x:c r="E11" s="10" t="n">
        <x:f>B11/D11</x:f>
        <x:v>268.92857142857144</x:v>
      </x:c>
      <x:c r="F11" s="10" t="n">
        <x:f>10*C11/B11</x:f>
        <x:v>1641.434262948207</x:v>
      </x:c>
      <x:c r="G11" s="11" t="n">
        <x:f>B11/B10-1</x:f>
        <x:v>-0.06343283582089554</x:v>
      </x:c>
      <x:c r="H11" s="11" t="n">
        <x:f>E11/E10-1</x:f>
        <x:v>0.03691364605543712</x:v>
      </x:c>
      <x:c r="I11" s="11" t="str">
        <x:f>""</x:f>
      </x:c>
      <x:c r="J11" s="2" t="str">
        <x:v>Secondary, rounded</x:v>
      </x:c>
      <x:c r="K11" s="2" t="str">
        <x:f>TEXT(A11,"mmm yy")</x:f>
        <x:v>Feb 23</x:v>
      </x:c>
      <x:c r="L11" s="12" t="n">
        <x:f>B11/1000</x:f>
        <x:v>7.53</x:v>
      </x:c>
    </x:row>
    <x:row r="12" ht="23" customHeight="1">
      <x:c r="A12" s="9" t="n">
        <x:v>44986</x:v>
      </x:c>
      <x:c r="B12" s="10" t="n">
        <x:v>8690</x:v>
      </x:c>
      <x:c r="C12" s="10" t="n">
        <x:v>1410000</x:v>
      </x:c>
      <x:c r="D12" s="2" t="n">
        <x:f>DAY(EOMONTH(A12,0))</x:f>
        <x:v>31</x:v>
      </x:c>
      <x:c r="E12" s="10" t="n">
        <x:f>B12/D12</x:f>
        <x:v>280.3225806451613</x:v>
      </x:c>
      <x:c r="F12" s="10" t="n">
        <x:f>10*C12/B12</x:f>
        <x:v>1622.5546605293441</x:v>
      </x:c>
      <x:c r="G12" s="11" t="n">
        <x:f>B12/B11-1</x:f>
        <x:v>0.154050464807437</x:v>
      </x:c>
      <x:c r="H12" s="11" t="n">
        <x:f>E12/E11-1</x:f>
        <x:v>0.04236816176155589</x:v>
      </x:c>
      <x:c r="I12" s="11" t="str">
        <x:f>""</x:f>
      </x:c>
      <x:c r="J12" s="2" t="str">
        <x:v>Secondary, rounded</x:v>
      </x:c>
      <x:c r="K12" s="2" t="str">
        <x:f>TEXT(A12,"mmm yy")</x:f>
        <x:v>Mar 23</x:v>
      </x:c>
      <x:c r="L12" s="12" t="n">
        <x:f>B12/1000</x:f>
        <x:v>8.69</x:v>
      </x:c>
    </x:row>
    <x:row r="13" ht="23" customHeight="1">
      <x:c r="A13" s="9" t="n">
        <x:v>45017</x:v>
      </x:c>
      <x:c r="B13" s="10" t="n">
        <x:v>8900</x:v>
      </x:c>
      <x:c r="C13" s="10" t="n">
        <x:v>1408000</x:v>
      </x:c>
      <x:c r="D13" s="2" t="n">
        <x:f>DAY(EOMONTH(A13,0))</x:f>
        <x:v>30</x:v>
      </x:c>
      <x:c r="E13" s="10" t="n">
        <x:f>B13/D13</x:f>
        <x:v>296.6666666666667</x:v>
      </x:c>
      <x:c r="F13" s="10" t="n">
        <x:f>10*C13/B13</x:f>
        <x:v>1582.0224719101125</x:v>
      </x:c>
      <x:c r="G13" s="11" t="n">
        <x:f>B13/B12-1</x:f>
        <x:v>0.024165707710011475</x:v>
      </x:c>
      <x:c r="H13" s="11" t="n">
        <x:f>E13/E12-1</x:f>
        <x:v>0.05830456463367861</x:v>
      </x:c>
      <x:c r="I13" s="11" t="str">
        <x:f>""</x:f>
      </x:c>
      <x:c r="J13" s="2" t="str">
        <x:v>Secondary, rounded</x:v>
      </x:c>
      <x:c r="K13" s="2" t="str">
        <x:f>TEXT(A13,"mmm yy")</x:f>
        <x:v>Apr 23</x:v>
      </x:c>
      <x:c r="L13" s="12" t="n">
        <x:f>B13/1000</x:f>
        <x:v>8.9</x:v>
      </x:c>
    </x:row>
    <x:row r="14" ht="23" customHeight="1">
      <x:c r="A14" s="9" t="n">
        <x:v>45047</x:v>
      </x:c>
      <x:c r="B14" s="10" t="n">
        <x:v>9420</x:v>
      </x:c>
      <x:c r="C14" s="10" t="n">
        <x:v>1489000</x:v>
      </x:c>
      <x:c r="D14" s="2" t="n">
        <x:f>DAY(EOMONTH(A14,0))</x:f>
        <x:v>31</x:v>
      </x:c>
      <x:c r="E14" s="10" t="n">
        <x:f>B14/D14</x:f>
        <x:v>303.8709677419355</x:v>
      </x:c>
      <x:c r="F14" s="10" t="n">
        <x:f>10*C14/B14</x:f>
        <x:v>1580.67940552017</x:v>
      </x:c>
      <x:c r="G14" s="11" t="n">
        <x:f>B14/B13-1</x:f>
        <x:v>0.05842696629213484</x:v>
      </x:c>
      <x:c r="H14" s="11" t="n">
        <x:f>E14/E13-1</x:f>
        <x:v>0.024284160927872334</x:v>
      </x:c>
      <x:c r="I14" s="11" t="str">
        <x:f>""</x:f>
      </x:c>
      <x:c r="J14" s="2" t="str">
        <x:v>Secondary, rounded</x:v>
      </x:c>
      <x:c r="K14" s="2" t="str">
        <x:f>TEXT(A14,"mmm yy")</x:f>
        <x:v>May 23</x:v>
      </x:c>
      <x:c r="L14" s="12" t="n">
        <x:f>B14/1000</x:f>
        <x:v>9.42</x:v>
      </x:c>
    </x:row>
    <x:row r="15" ht="23" customHeight="1">
      <x:c r="A15" s="9" t="n">
        <x:v>45078</x:v>
      </x:c>
      <x:c r="B15" s="10" t="n">
        <x:v>9340</x:v>
      </x:c>
      <x:c r="C15" s="10" t="n">
        <x:v>1475000</x:v>
      </x:c>
      <x:c r="D15" s="2" t="n">
        <x:f>DAY(EOMONTH(A15,0))</x:f>
        <x:v>30</x:v>
      </x:c>
      <x:c r="E15" s="10" t="n">
        <x:f>B15/D15</x:f>
        <x:v>311.3333333333333</x:v>
      </x:c>
      <x:c r="F15" s="10" t="n">
        <x:f>10*C15/B15</x:f>
        <x:v>1579.2291220556745</x:v>
      </x:c>
      <x:c r="G15" s="11" t="n">
        <x:f>B15/B14-1</x:f>
        <x:v>-0.00849256900212314</x:v>
      </x:c>
      <x:c r="H15" s="11" t="n">
        <x:f>E15/E14-1</x:f>
        <x:v>0.024557678697806118</x:v>
      </x:c>
      <x:c r="I15" s="11" t="str">
        <x:f>""</x:f>
      </x:c>
      <x:c r="J15" s="2" t="str">
        <x:v>Secondary, rounded</x:v>
      </x:c>
      <x:c r="K15" s="2" t="str">
        <x:f>TEXT(A15,"mmm yy")</x:f>
        <x:v>Jun 23</x:v>
      </x:c>
      <x:c r="L15" s="12" t="n">
        <x:f>B15/1000</x:f>
        <x:v>9.34</x:v>
      </x:c>
    </x:row>
    <x:row r="16" ht="23" customHeight="1">
      <x:c r="A16" s="9" t="n">
        <x:v>45108</x:v>
      </x:c>
      <x:c r="B16" s="10" t="n">
        <x:v>9960</x:v>
      </x:c>
      <x:c r="C16" s="10" t="n">
        <x:v>1534000</x:v>
      </x:c>
      <x:c r="D16" s="2" t="n">
        <x:f>DAY(EOMONTH(A16,0))</x:f>
        <x:v>31</x:v>
      </x:c>
      <x:c r="E16" s="10" t="n">
        <x:f>B16/D16</x:f>
        <x:v>321.2903225806452</x:v>
      </x:c>
      <x:c r="F16" s="10" t="n">
        <x:f>10*C16/B16</x:f>
        <x:v>1540.1606425702812</x:v>
      </x:c>
      <x:c r="G16" s="11" t="n">
        <x:f>B16/B15-1</x:f>
        <x:v>0.06638115631691655</x:v>
      </x:c>
      <x:c r="H16" s="11" t="n">
        <x:f>E16/E15-1</x:f>
        <x:v>0.03198176417766119</x:v>
      </x:c>
      <x:c r="I16" s="11" t="str">
        <x:f>""</x:f>
      </x:c>
      <x:c r="J16" s="2" t="str">
        <x:v>Secondary, rounded</x:v>
      </x:c>
      <x:c r="K16" s="2" t="str">
        <x:f>TEXT(A16,"mmm yy")</x:f>
        <x:v>Jul 23</x:v>
      </x:c>
      <x:c r="L16" s="12" t="n">
        <x:f>B16/1000</x:f>
        <x:v>9.96</x:v>
      </x:c>
    </x:row>
    <x:row r="17" ht="23" customHeight="1">
      <x:c r="A17" s="9" t="n">
        <x:v>45139</x:v>
      </x:c>
      <x:c r="B17" s="10" t="n">
        <x:v>10590</x:v>
      </x:c>
      <x:c r="C17" s="10" t="n">
        <x:v>1577000</x:v>
      </x:c>
      <x:c r="D17" s="2" t="n">
        <x:f>DAY(EOMONTH(A17,0))</x:f>
        <x:v>31</x:v>
      </x:c>
      <x:c r="E17" s="10" t="n">
        <x:f>B17/D17</x:f>
        <x:v>341.61290322580646</x:v>
      </x:c>
      <x:c r="F17" s="10" t="n">
        <x:f>10*C17/B17</x:f>
        <x:v>1489.1406987724267</x:v>
      </x:c>
      <x:c r="G17" s="11" t="n">
        <x:f>B17/B16-1</x:f>
        <x:v>0.06325301204819267</x:v>
      </x:c>
      <x:c r="H17" s="11" t="n">
        <x:f>E17/E16-1</x:f>
        <x:v>0.06325301204819267</x:v>
      </x:c>
      <x:c r="I17" s="11" t="str">
        <x:f>""</x:f>
      </x:c>
      <x:c r="J17" s="2" t="str">
        <x:v>Secondary, rounded</x:v>
      </x:c>
      <x:c r="K17" s="2" t="str">
        <x:f>TEXT(A17,"mmm yy")</x:f>
        <x:v>Aug 23</x:v>
      </x:c>
      <x:c r="L17" s="12" t="n">
        <x:f>B17/1000</x:f>
        <x:v>10.59</x:v>
      </x:c>
    </x:row>
    <x:row r="18" ht="23" customHeight="1">
      <x:c r="A18" s="9" t="n">
        <x:v>45170</x:v>
      </x:c>
      <x:c r="B18" s="10" t="n">
        <x:v>10560</x:v>
      </x:c>
      <x:c r="C18" s="10" t="n">
        <x:v>1579000</x:v>
      </x:c>
      <x:c r="D18" s="2" t="n">
        <x:f>DAY(EOMONTH(A18,0))</x:f>
        <x:v>30</x:v>
      </x:c>
      <x:c r="E18" s="10" t="n">
        <x:f>B18/D18</x:f>
        <x:v>352</x:v>
      </x:c>
      <x:c r="F18" s="10" t="n">
        <x:f>10*C18/B18</x:f>
        <x:v>1495.2651515151515</x:v>
      </x:c>
      <x:c r="G18" s="11" t="n">
        <x:f>B18/B17-1</x:f>
        <x:v>-0.0028328611898017497</x:v>
      </x:c>
      <x:c r="H18" s="11" t="n">
        <x:f>E18/E17-1</x:f>
        <x:v>0.030406043437204877</x:v>
      </x:c>
      <x:c r="I18" s="11" t="n">
        <x:f>B18/B6-1</x:f>
        <x:v>0.5575221238938053</x:v>
      </x:c>
      <x:c r="J18" s="2" t="str">
        <x:v>Secondary, rounded</x:v>
      </x:c>
      <x:c r="K18" s="2" t="str">
        <x:f>TEXT(A18,"mmm yy")</x:f>
        <x:v>Sep 23</x:v>
      </x:c>
      <x:c r="L18" s="12" t="n">
        <x:f>B18/1000</x:f>
        <x:v>10.56</x:v>
      </x:c>
    </x:row>
    <x:row r="19" ht="23" customHeight="1">
      <x:c r="A19" s="9" t="n">
        <x:v>45200</x:v>
      </x:c>
      <x:c r="B19" s="10" t="n">
        <x:v>11410</x:v>
      </x:c>
      <x:c r="C19" s="10" t="n">
        <x:v>1716000</x:v>
      </x:c>
      <x:c r="D19" s="2" t="n">
        <x:f>DAY(EOMONTH(A19,0))</x:f>
        <x:v>31</x:v>
      </x:c>
      <x:c r="E19" s="10" t="n">
        <x:f>B19/D19</x:f>
        <x:v>368.06451612903226</x:v>
      </x:c>
      <x:c r="F19" s="10" t="n">
        <x:f>10*C19/B19</x:f>
        <x:v>1503.9439088518843</x:v>
      </x:c>
      <x:c r="G19" s="11" t="n">
        <x:f>B19/B18-1</x:f>
        <x:v>0.08049242424242431</x:v>
      </x:c>
      <x:c r="H19" s="11" t="n">
        <x:f>E19/E18-1</x:f>
        <x:v>0.045637829912023475</x:v>
      </x:c>
      <x:c r="I19" s="11" t="n">
        <x:f>B19/B7-1</x:f>
        <x:v>0.560875512995896</x:v>
      </x:c>
      <x:c r="J19" s="2" t="str">
        <x:v>Secondary, rounded</x:v>
      </x:c>
      <x:c r="K19" s="2" t="str">
        <x:f>TEXT(A19,"mmm yy")</x:f>
        <x:v>Oct 23</x:v>
      </x:c>
      <x:c r="L19" s="12" t="n">
        <x:f>B19/1000</x:f>
        <x:v>11.41</x:v>
      </x:c>
    </x:row>
    <x:row r="20" ht="23" customHeight="1">
      <x:c r="A20" s="9" t="n">
        <x:v>45231</x:v>
      </x:c>
      <x:c r="B20" s="10" t="n">
        <x:v>11240</x:v>
      </x:c>
      <x:c r="C20" s="10" t="n">
        <x:v>1739999.9999999998</x:v>
      </x:c>
      <x:c r="D20" s="2" t="n">
        <x:f>DAY(EOMONTH(A20,0))</x:f>
        <x:v>30</x:v>
      </x:c>
      <x:c r="E20" s="10" t="n">
        <x:f>B20/D20</x:f>
        <x:v>374.6666666666667</x:v>
      </x:c>
      <x:c r="F20" s="10" t="n">
        <x:f>10*C20/B20</x:f>
        <x:v>1548.0427046263342</x:v>
      </x:c>
      <x:c r="G20" s="11" t="n">
        <x:f>B20/B19-1</x:f>
        <x:v>-0.014899211218229569</x:v>
      </x:c>
      <x:c r="H20" s="11" t="n">
        <x:f>E20/E19-1</x:f>
        <x:v>0.01793748174116283</x:v>
      </x:c>
      <x:c r="I20" s="11" t="n">
        <x:f>B20/B8-1</x:f>
        <x:v>0.5376196990424076</x:v>
      </x:c>
      <x:c r="J20" s="2" t="str">
        <x:v>Secondary, rounded</x:v>
      </x:c>
      <x:c r="K20" s="2" t="str">
        <x:f>TEXT(A20,"mmm yy")</x:f>
        <x:v>Nov 23</x:v>
      </x:c>
      <x:c r="L20" s="12" t="n">
        <x:f>B20/1000</x:f>
        <x:v>11.24</x:v>
      </x:c>
    </x:row>
    <x:row r="21" ht="23" customHeight="1">
      <x:c r="A21" s="9" t="n">
        <x:v>45261</x:v>
      </x:c>
      <x:c r="B21" s="10" t="n">
        <x:v>12020</x:v>
      </x:c>
      <x:c r="C21" s="10" t="n">
        <x:v>1823000</x:v>
      </x:c>
      <x:c r="D21" s="2" t="n">
        <x:f>DAY(EOMONTH(A21,0))</x:f>
        <x:v>31</x:v>
      </x:c>
      <x:c r="E21" s="10" t="n">
        <x:f>B21/D21</x:f>
        <x:v>387.741935483871</x:v>
      </x:c>
      <x:c r="F21" s="10" t="n">
        <x:f>10*C21/B21</x:f>
        <x:v>1516.6389351081532</x:v>
      </x:c>
      <x:c r="G21" s="11" t="n">
        <x:f>B21/B20-1</x:f>
        <x:v>0.06939501779359425</x:v>
      </x:c>
      <x:c r="H21" s="11" t="n">
        <x:f>E21/E20-1</x:f>
        <x:v>0.03489840431638158</x:v>
      </x:c>
      <x:c r="I21" s="11" t="n">
        <x:f>B21/B9-1</x:f>
        <x:v>0.5351213282247764</x:v>
      </x:c>
      <x:c r="J21" s="2" t="str">
        <x:v>Secondary, rounded</x:v>
      </x:c>
      <x:c r="K21" s="2" t="str">
        <x:f>TEXT(A21,"mmm yy")</x:f>
        <x:v>Dec 23</x:v>
      </x:c>
      <x:c r="L21" s="12" t="n">
        <x:f>B21/1000</x:f>
        <x:v>12.02</x:v>
      </x:c>
    </x:row>
    <x:row r="22" ht="23" customHeight="1">
      <x:c r="A22" s="9" t="n">
        <x:v>45292</x:v>
      </x:c>
      <x:c r="B22" s="10" t="n">
        <x:v>12200</x:v>
      </x:c>
      <x:c r="C22" s="10" t="n">
        <x:v>1841000</x:v>
      </x:c>
      <x:c r="D22" s="2" t="n">
        <x:f>DAY(EOMONTH(A22,0))</x:f>
        <x:v>31</x:v>
      </x:c>
      <x:c r="E22" s="10" t="n">
        <x:f>B22/D22</x:f>
        <x:v>393.5483870967742</x:v>
      </x:c>
      <x:c r="F22" s="10" t="n">
        <x:f>10*C22/B22</x:f>
        <x:v>1509.016393442623</x:v>
      </x:c>
      <x:c r="G22" s="11" t="n">
        <x:f>B22/B21-1</x:f>
        <x:v>0.014975041597337757</x:v>
      </x:c>
      <x:c r="H22" s="11" t="n">
        <x:f>E22/E21-1</x:f>
        <x:v>0.014975041597337757</x:v>
      </x:c>
      <x:c r="I22" s="11" t="n">
        <x:f>B22/B10-1</x:f>
        <x:v>0.5174129353233832</x:v>
      </x:c>
      <x:c r="J22" s="2" t="str">
        <x:v>Secondary, rounded</x:v>
      </x:c>
      <x:c r="K22" s="2" t="str">
        <x:f>TEXT(A22,"mmm yy")</x:f>
        <x:v>Jan 24</x:v>
      </x:c>
      <x:c r="L22" s="12" t="n">
        <x:f>B22/1000</x:f>
        <x:v>12.2</x:v>
      </x:c>
    </x:row>
    <x:row r="23" ht="23" customHeight="1">
      <x:c r="A23" s="9" t="n">
        <x:v>45323</x:v>
      </x:c>
      <x:c r="B23" s="10" t="n">
        <x:v>12100</x:v>
      </x:c>
      <x:c r="C23" s="10" t="n">
        <x:v>1828000</x:v>
      </x:c>
      <x:c r="D23" s="2" t="n">
        <x:f>DAY(EOMONTH(A23,0))</x:f>
        <x:v>29</x:v>
      </x:c>
      <x:c r="E23" s="10" t="n">
        <x:f>B23/D23</x:f>
        <x:v>417.2413793103448</x:v>
      </x:c>
      <x:c r="F23" s="10" t="n">
        <x:f>10*C23/B23</x:f>
        <x:v>1510.7438016528927</x:v>
      </x:c>
      <x:c r="G23" s="11" t="n">
        <x:f>B23/B22-1</x:f>
        <x:v>-0.008196721311475419</x:v>
      </x:c>
      <x:c r="H23" s="11" t="n">
        <x:f>E23/E22-1</x:f>
        <x:v>0.060203504804974495</x:v>
      </x:c>
      <x:c r="I23" s="11" t="n">
        <x:f>B23/B11-1</x:f>
        <x:v>0.6069057104913678</x:v>
      </x:c>
      <x:c r="J23" s="2" t="str">
        <x:v>Secondary, rounded</x:v>
      </x:c>
      <x:c r="K23" s="2" t="str">
        <x:f>TEXT(A23,"mmm yy")</x:f>
        <x:v>Feb 24</x:v>
      </x:c>
      <x:c r="L23" s="12" t="n">
        <x:f>B23/1000</x:f>
        <x:v>12.1</x:v>
      </x:c>
    </x:row>
    <x:row r="24" ht="23" customHeight="1">
      <x:c r="A24" s="9" t="n">
        <x:v>45352</x:v>
      </x:c>
      <x:c r="B24" s="10" t="n">
        <x:v>13440</x:v>
      </x:c>
      <x:c r="C24" s="10" t="n">
        <x:v>1978000</x:v>
      </x:c>
      <x:c r="D24" s="2" t="n">
        <x:f>DAY(EOMONTH(A24,0))</x:f>
        <x:v>31</x:v>
      </x:c>
      <x:c r="E24" s="10" t="n">
        <x:f>B24/D24</x:f>
        <x:v>433.5483870967742</x:v>
      </x:c>
      <x:c r="F24" s="10" t="n">
        <x:f>10*C24/B24</x:f>
        <x:v>1471.7261904761904</x:v>
      </x:c>
      <x:c r="G24" s="11" t="n">
        <x:f>B24/B23-1</x:f>
        <x:v>0.11074380165289255</x:v>
      </x:c>
      <x:c r="H24" s="11" t="n">
        <x:f>E24/E23-1</x:f>
        <x:v>0.03908291122367369</x:v>
      </x:c>
      <x:c r="I24" s="11" t="n">
        <x:f>B24/B12-1</x:f>
        <x:v>0.5466052934407364</x:v>
      </x:c>
      <x:c r="J24" s="2" t="str">
        <x:v>Secondary, rounded</x:v>
      </x:c>
      <x:c r="K24" s="2" t="str">
        <x:f>TEXT(A24,"mmm yy")</x:f>
        <x:v>Mar 24</x:v>
      </x:c>
      <x:c r="L24" s="12" t="n">
        <x:f>B24/1000</x:f>
        <x:v>13.44</x:v>
      </x:c>
    </x:row>
    <x:row r="25" ht="23" customHeight="1">
      <x:c r="A25" s="9" t="n">
        <x:v>45383</x:v>
      </x:c>
      <x:c r="B25" s="10" t="n">
        <x:v>13300</x:v>
      </x:c>
      <x:c r="C25" s="10" t="n">
        <x:v>1964000</x:v>
      </x:c>
      <x:c r="D25" s="2" t="n">
        <x:f>DAY(EOMONTH(A25,0))</x:f>
        <x:v>30</x:v>
      </x:c>
      <x:c r="E25" s="10" t="n">
        <x:f>B25/D25</x:f>
        <x:v>443.3333333333333</x:v>
      </x:c>
      <x:c r="F25" s="10" t="n">
        <x:f>10*C25/B25</x:f>
        <x:v>1476.6917293233082</x:v>
      </x:c>
      <x:c r="G25" s="11" t="n">
        <x:f>B25/B24-1</x:f>
        <x:v>-0.01041666666666663</x:v>
      </x:c>
      <x:c r="H25" s="11" t="n">
        <x:f>E25/E24-1</x:f>
        <x:v>0.02256944444444442</x:v>
      </x:c>
      <x:c r="I25" s="11" t="n">
        <x:f>B25/B13-1</x:f>
        <x:v>0.4943820224719102</x:v>
      </x:c>
      <x:c r="J25" s="2" t="str">
        <x:v>Secondary, rounded</x:v>
      </x:c>
      <x:c r="K25" s="2" t="str">
        <x:f>TEXT(A25,"mmm yy")</x:f>
        <x:v>Apr 24</x:v>
      </x:c>
      <x:c r="L25" s="12" t="n">
        <x:f>B25/1000</x:f>
        <x:v>13.3</x:v>
      </x:c>
    </x:row>
    <x:row r="26" ht="23" customHeight="1">
      <x:c r="A26" s="9" t="n">
        <x:v>45413</x:v>
      </x:c>
      <x:c r="B26" s="10" t="n">
        <x:v>14040</x:v>
      </x:c>
      <x:c r="C26" s="10" t="n">
        <x:v>2045000</x:v>
      </x:c>
      <x:c r="D26" s="2" t="n">
        <x:f>DAY(EOMONTH(A26,0))</x:f>
        <x:v>31</x:v>
      </x:c>
      <x:c r="E26" s="10" t="n">
        <x:f>B26/D26</x:f>
        <x:v>452.9032258064516</x:v>
      </x:c>
      <x:c r="F26" s="10" t="n">
        <x:f>10*C26/B26</x:f>
        <x:v>1456.5527065527065</x:v>
      </x:c>
      <x:c r="G26" s="11" t="n">
        <x:f>B26/B25-1</x:f>
        <x:v>0.05563909774436082</x:v>
      </x:c>
      <x:c r="H26" s="11" t="n">
        <x:f>E26/E25-1</x:f>
        <x:v>0.021586223623575096</x:v>
      </x:c>
      <x:c r="I26" s="11" t="n">
        <x:f>B26/B14-1</x:f>
        <x:v>0.49044585987261136</x:v>
      </x:c>
      <x:c r="J26" s="2" t="str">
        <x:v>Secondary, rounded</x:v>
      </x:c>
      <x:c r="K26" s="2" t="str">
        <x:f>TEXT(A26,"mmm yy")</x:f>
        <x:v>May 24</x:v>
      </x:c>
      <x:c r="L26" s="12" t="n">
        <x:f>B26/1000</x:f>
        <x:v>14.04</x:v>
      </x:c>
    </x:row>
    <x:row r="27" ht="23" customHeight="1">
      <x:c r="A27" s="9" t="n">
        <x:v>45444</x:v>
      </x:c>
      <x:c r="B27" s="10" t="n">
        <x:v>13890</x:v>
      </x:c>
      <x:c r="C27" s="10" t="n">
        <x:v>2007000</x:v>
      </x:c>
      <x:c r="D27" s="2" t="n">
        <x:f>DAY(EOMONTH(A27,0))</x:f>
        <x:v>30</x:v>
      </x:c>
      <x:c r="E27" s="10" t="n">
        <x:f>B27/D27</x:f>
        <x:v>463</x:v>
      </x:c>
      <x:c r="F27" s="10" t="n">
        <x:f>10*C27/B27</x:f>
        <x:v>1444.9244060475162</x:v>
      </x:c>
      <x:c r="G27" s="11" t="n">
        <x:f>B27/B26-1</x:f>
        <x:v>-0.010683760683760646</x:v>
      </x:c>
      <x:c r="H27" s="11" t="n">
        <x:f>E27/E26-1</x:f>
        <x:v>0.022293447293447288</x:v>
      </x:c>
      <x:c r="I27" s="11" t="n">
        <x:f>B27/B15-1</x:f>
        <x:v>0.4871520342612419</x:v>
      </x:c>
      <x:c r="J27" s="2" t="str">
        <x:v>Secondary, rounded</x:v>
      </x:c>
      <x:c r="K27" s="2" t="str">
        <x:f>TEXT(A27,"mmm yy")</x:f>
        <x:v>Jun 24</x:v>
      </x:c>
      <x:c r="L27" s="12" t="n">
        <x:f>B27/1000</x:f>
        <x:v>13.89</x:v>
      </x:c>
    </x:row>
    <x:row r="28" ht="23" customHeight="1">
      <x:c r="A28" s="9" t="n">
        <x:v>45474</x:v>
      </x:c>
      <x:c r="B28" s="10" t="n">
        <x:v>14440</x:v>
      </x:c>
      <x:c r="C28" s="10" t="n">
        <x:v>2064000</x:v>
      </x:c>
      <x:c r="D28" s="2" t="n">
        <x:f>DAY(EOMONTH(A28,0))</x:f>
        <x:v>31</x:v>
      </x:c>
      <x:c r="E28" s="10" t="n">
        <x:f>B28/D28</x:f>
        <x:v>465.80645161290323</x:v>
      </x:c>
      <x:c r="F28" s="10" t="n">
        <x:f>10*C28/B28</x:f>
        <x:v>1429.3628808864266</x:v>
      </x:c>
      <x:c r="G28" s="11" t="n">
        <x:f>B28/B27-1</x:f>
        <x:v>0.0395968322534197</x:v>
      </x:c>
      <x:c r="H28" s="11" t="n">
        <x:f>E28/E27-1</x:f>
        <x:v>0.006061450567825588</x:v>
      </x:c>
      <x:c r="I28" s="11" t="n">
        <x:f>B28/B16-1</x:f>
        <x:v>0.44979919678714864</x:v>
      </x:c>
      <x:c r="J28" s="2" t="str">
        <x:v>Secondary, rounded</x:v>
      </x:c>
      <x:c r="K28" s="2" t="str">
        <x:f>TEXT(A28,"mmm yy")</x:f>
        <x:v>Jul 24</x:v>
      </x:c>
      <x:c r="L28" s="12" t="n">
        <x:f>B28/1000</x:f>
        <x:v>14.44</x:v>
      </x:c>
    </x:row>
    <x:row r="29" ht="23" customHeight="1">
      <x:c r="A29" s="9" t="n">
        <x:v>45505</x:v>
      </x:c>
      <x:c r="B29" s="10" t="n">
        <x:v>14960</x:v>
      </x:c>
      <x:c r="C29" s="10" t="n">
        <x:v>2061000</x:v>
      </x:c>
      <x:c r="D29" s="2" t="n">
        <x:f>DAY(EOMONTH(A29,0))</x:f>
        <x:v>31</x:v>
      </x:c>
      <x:c r="E29" s="10" t="n">
        <x:f>B29/D29</x:f>
        <x:v>482.5806451612903</x:v>
      </x:c>
      <x:c r="F29" s="10" t="n">
        <x:f>10*C29/B29</x:f>
        <x:v>1377.673796791444</x:v>
      </x:c>
      <x:c r="G29" s="11" t="n">
        <x:f>B29/B28-1</x:f>
        <x:v>0.03601108033241007</x:v>
      </x:c>
      <x:c r="H29" s="11" t="n">
        <x:f>E29/E28-1</x:f>
        <x:v>0.03601108033240985</x:v>
      </x:c>
      <x:c r="I29" s="11" t="n">
        <x:f>B29/B17-1</x:f>
        <x:v>0.4126534466477809</x:v>
      </x:c>
      <x:c r="J29" s="2" t="str">
        <x:v>Secondary, rounded</x:v>
      </x:c>
      <x:c r="K29" s="2" t="str">
        <x:f>TEXT(A29,"mmm yy")</x:f>
        <x:v>Aug 24</x:v>
      </x:c>
      <x:c r="L29" s="12" t="n">
        <x:f>B29/1000</x:f>
        <x:v>14.96</x:v>
      </x:c>
    </x:row>
    <x:row r="30" ht="23" customHeight="1">
      <x:c r="A30" s="9" t="n">
        <x:v>45536</x:v>
      </x:c>
      <x:c r="B30" s="10" t="n">
        <x:v>15040</x:v>
      </x:c>
      <x:c r="C30" s="10" t="n">
        <x:v>2064000</x:v>
      </x:c>
      <x:c r="D30" s="2" t="n">
        <x:f>DAY(EOMONTH(A30,0))</x:f>
        <x:v>30</x:v>
      </x:c>
      <x:c r="E30" s="10" t="n">
        <x:f>B30/D30</x:f>
        <x:v>501.3333333333333</x:v>
      </x:c>
      <x:c r="F30" s="10" t="n">
        <x:f>10*C30/B30</x:f>
        <x:v>1372.340425531915</x:v>
      </x:c>
      <x:c r="G30" s="11" t="n">
        <x:f>B30/B29-1</x:f>
        <x:v>0.005347593582887722</x:v>
      </x:c>
      <x:c r="H30" s="11" t="n">
        <x:f>E30/E29-1</x:f>
        <x:v>0.03885918003565059</x:v>
      </x:c>
      <x:c r="I30" s="11" t="n">
        <x:f>B30/B18-1</x:f>
        <x:v>0.4242424242424243</x:v>
      </x:c>
      <x:c r="J30" s="2" t="str">
        <x:v>Secondary, rounded</x:v>
      </x:c>
      <x:c r="K30" s="2" t="str">
        <x:f>TEXT(A30,"mmm yy")</x:f>
        <x:v>Sep 24</x:v>
      </x:c>
      <x:c r="L30" s="12" t="n">
        <x:f>B30/1000</x:f>
        <x:v>15.04</x:v>
      </x:c>
    </x:row>
    <x:row r="31" ht="23" customHeight="1">
      <x:c r="A31" s="9" t="n">
        <x:v>45566</x:v>
      </x:c>
      <x:c r="B31" s="10" t="n">
        <x:v>16580</x:v>
      </x:c>
      <x:c r="C31" s="10" t="n">
        <x:v>2350000</x:v>
      </x:c>
      <x:c r="D31" s="2" t="n">
        <x:f>DAY(EOMONTH(A31,0))</x:f>
        <x:v>31</x:v>
      </x:c>
      <x:c r="E31" s="10" t="n">
        <x:f>B31/D31</x:f>
        <x:v>534.8387096774194</x:v>
      </x:c>
      <x:c r="F31" s="10" t="n">
        <x:f>10*C31/B31</x:f>
        <x:v>1417.3703256936067</x:v>
      </x:c>
      <x:c r="G31" s="11" t="n">
        <x:f>B31/B30-1</x:f>
        <x:v>0.1023936170212767</x:v>
      </x:c>
      <x:c r="H31" s="11" t="n">
        <x:f>E31/E30-1</x:f>
        <x:v>0.06683253260123556</x:v>
      </x:c>
      <x:c r="I31" s="11" t="n">
        <x:f>B31/B19-1</x:f>
        <x:v>0.45311130587204196</x:v>
      </x:c>
      <x:c r="J31" s="2" t="str">
        <x:v>Secondary, rounded</x:v>
      </x:c>
      <x:c r="K31" s="2" t="str">
        <x:f>TEXT(A31,"mmm yy")</x:f>
        <x:v>Oct 24</x:v>
      </x:c>
      <x:c r="L31" s="12" t="n">
        <x:f>B31/1000</x:f>
        <x:v>16.58</x:v>
      </x:c>
    </x:row>
    <x:row r="32" ht="23" customHeight="1">
      <x:c r="A32" s="9" t="n">
        <x:v>45597</x:v>
      </x:c>
      <x:c r="B32" s="10" t="n">
        <x:v>15480</x:v>
      </x:c>
      <x:c r="C32" s="10" t="n">
        <x:v>2155000</x:v>
      </x:c>
      <x:c r="D32" s="2" t="n">
        <x:f>DAY(EOMONTH(A32,0))</x:f>
        <x:v>30</x:v>
      </x:c>
      <x:c r="E32" s="10" t="n">
        <x:f>B32/D32</x:f>
        <x:v>516</x:v>
      </x:c>
      <x:c r="F32" s="10" t="n">
        <x:f>10*C32/B32</x:f>
        <x:v>1392.1188630490956</x:v>
      </x:c>
      <x:c r="G32" s="11" t="n">
        <x:f>B32/B31-1</x:f>
        <x:v>-0.06634499396863691</x:v>
      </x:c>
      <x:c r="H32" s="11" t="n">
        <x:f>E32/E31-1</x:f>
        <x:v>-0.035223160434258216</x:v>
      </x:c>
      <x:c r="I32" s="11" t="n">
        <x:f>B32/B20-1</x:f>
        <x:v>0.3772241992882561</x:v>
      </x:c>
      <x:c r="J32" s="2" t="str">
        <x:v>Secondary, rounded</x:v>
      </x:c>
      <x:c r="K32" s="2" t="str">
        <x:f>TEXT(A32,"mmm yy")</x:f>
        <x:v>Nov 24</x:v>
      </x:c>
      <x:c r="L32" s="12" t="n">
        <x:f>B32/1000</x:f>
        <x:v>15.48</x:v>
      </x:c>
    </x:row>
    <x:row r="33" ht="23" customHeight="1">
      <x:c r="A33" s="9" t="n">
        <x:v>45627</x:v>
      </x:c>
      <x:c r="B33" s="10" t="n">
        <x:v>16730</x:v>
      </x:c>
      <x:c r="C33" s="10" t="n">
        <x:v>2325000</x:v>
      </x:c>
      <x:c r="D33" s="2" t="n">
        <x:f>DAY(EOMONTH(A33,0))</x:f>
        <x:v>31</x:v>
      </x:c>
      <x:c r="E33" s="10" t="n">
        <x:f>B33/D33</x:f>
        <x:v>539.6774193548387</x:v>
      </x:c>
      <x:c r="F33" s="10" t="n">
        <x:f>10*C33/B33</x:f>
        <x:v>1389.7190675433353</x:v>
      </x:c>
      <x:c r="G33" s="11" t="n">
        <x:f>B33/B32-1</x:f>
        <x:v>0.08074935400516803</x:v>
      </x:c>
      <x:c r="H33" s="11" t="n">
        <x:f>E33/E32-1</x:f>
        <x:v>0.04588647161790438</x:v>
      </x:c>
      <x:c r="I33" s="11" t="n">
        <x:f>B33/B21-1</x:f>
        <x:v>0.3918469217970051</x:v>
      </x:c>
      <x:c r="J33" s="2" t="str">
        <x:v>Secondary, rounded</x:v>
      </x:c>
      <x:c r="K33" s="2" t="str">
        <x:f>TEXT(A33,"mmm yy")</x:f>
        <x:v>Dec 24</x:v>
      </x:c>
      <x:c r="L33" s="12" t="n">
        <x:f>B33/1000</x:f>
        <x:v>16.73</x:v>
      </x:c>
    </x:row>
    <x:row r="34" ht="23" customHeight="1">
      <x:c r="A34" s="9" t="n">
        <x:v>45658</x:v>
      </x:c>
      <x:c r="B34" s="10" t="n">
        <x:v>17000</x:v>
      </x:c>
      <x:c r="C34" s="10" t="n">
        <x:v>2348000</x:v>
      </x:c>
      <x:c r="D34" s="2" t="n">
        <x:f>DAY(EOMONTH(A34,0))</x:f>
        <x:v>31</x:v>
      </x:c>
      <x:c r="E34" s="10" t="n">
        <x:f>B34/D34</x:f>
        <x:v>548.3870967741935</x:v>
      </x:c>
      <x:c r="F34" s="10" t="n">
        <x:f>10*C34/B34</x:f>
        <x:v>1381.1764705882354</x:v>
      </x:c>
      <x:c r="G34" s="11" t="n">
        <x:f>B34/B33-1</x:f>
        <x:v>0.016138673042438656</x:v>
      </x:c>
      <x:c r="H34" s="11" t="n">
        <x:f>E34/E33-1</x:f>
        <x:v>0.016138673042438878</x:v>
      </x:c>
      <x:c r="I34" s="11" t="n">
        <x:f>B34/B22-1</x:f>
        <x:v>0.39344262295081966</x:v>
      </x:c>
      <x:c r="J34" s="2" t="str">
        <x:v>Secondary, rounded</x:v>
      </x:c>
      <x:c r="K34" s="2" t="str">
        <x:f>TEXT(A34,"mmm yy")</x:f>
        <x:v>Jan 25</x:v>
      </x:c>
      <x:c r="L34" s="12" t="n">
        <x:f>B34/1000</x:f>
        <x:v>17</x:v>
      </x:c>
    </x:row>
    <x:row r="35" ht="23" customHeight="1">
      <x:c r="A35" s="9" t="n">
        <x:v>45689</x:v>
      </x:c>
      <x:c r="B35" s="10" t="n">
        <x:v>16110</x:v>
      </x:c>
      <x:c r="C35" s="10" t="n">
        <x:v>2196000</x:v>
      </x:c>
      <x:c r="D35" s="2" t="n">
        <x:f>DAY(EOMONTH(A35,0))</x:f>
        <x:v>28</x:v>
      </x:c>
      <x:c r="E35" s="10" t="n">
        <x:f>B35/D35</x:f>
        <x:v>575.3571428571429</x:v>
      </x:c>
      <x:c r="F35" s="10" t="n">
        <x:f>10*C35/B35</x:f>
        <x:v>1363.1284916201118</x:v>
      </x:c>
      <x:c r="G35" s="11" t="n">
        <x:f>B35/B34-1</x:f>
        <x:v>-0.0523529411764706</x:v>
      </x:c>
      <x:c r="H35" s="11" t="n">
        <x:f>E35/E34-1</x:f>
        <x:v>0.049180672268907655</x:v>
      </x:c>
      <x:c r="I35" s="11" t="n">
        <x:f>B35/B23-1</x:f>
        <x:v>0.33140495867768593</x:v>
      </x:c>
      <x:c r="J35" s="2" t="str">
        <x:v>Secondary, rounded</x:v>
      </x:c>
      <x:c r="K35" s="2" t="str">
        <x:f>TEXT(A35,"mmm yy")</x:f>
        <x:v>Feb 25</x:v>
      </x:c>
      <x:c r="L35" s="12" t="n">
        <x:f>B35/1000</x:f>
        <x:v>16.11</x:v>
      </x:c>
    </x:row>
    <x:row r="36" ht="23" customHeight="1">
      <x:c r="A36" s="9" t="n">
        <x:v>45717</x:v>
      </x:c>
      <x:c r="B36" s="10" t="n">
        <x:v>18300</x:v>
      </x:c>
      <x:c r="C36" s="10" t="n">
        <x:v>2477000</x:v>
      </x:c>
      <x:c r="D36" s="2" t="n">
        <x:f>DAY(EOMONTH(A36,0))</x:f>
        <x:v>31</x:v>
      </x:c>
      <x:c r="E36" s="10" t="n">
        <x:f>B36/D36</x:f>
        <x:v>590.3225806451613</x:v>
      </x:c>
      <x:c r="F36" s="10" t="n">
        <x:f>10*C36/B36</x:f>
        <x:v>1353.551912568306</x:v>
      </x:c>
      <x:c r="G36" s="11" t="n">
        <x:f>B36/B35-1</x:f>
        <x:v>0.13594040968342647</x:v>
      </x:c>
      <x:c r="H36" s="11" t="n">
        <x:f>E36/E35-1</x:f>
        <x:v>0.0260106926172885</x:v>
      </x:c>
      <x:c r="I36" s="11" t="n">
        <x:f>B36/B24-1</x:f>
        <x:v>0.3616071428571428</x:v>
      </x:c>
      <x:c r="J36" s="2" t="str">
        <x:v>Secondary, rounded</x:v>
      </x:c>
      <x:c r="K36" s="2" t="str">
        <x:f>TEXT(A36,"mmm yy")</x:f>
        <x:v>Mar 25</x:v>
      </x:c>
      <x:c r="L36" s="12" t="n">
        <x:f>B36/1000</x:f>
        <x:v>18.3</x:v>
      </x:c>
    </x:row>
    <x:row r="37" ht="23" customHeight="1">
      <x:c r="A37" s="9" t="n">
        <x:v>45748</x:v>
      </x:c>
      <x:c r="B37" s="10" t="n">
        <x:v>17890</x:v>
      </x:c>
      <x:c r="C37" s="10" t="n">
        <x:v>2395000</x:v>
      </x:c>
      <x:c r="D37" s="2" t="n">
        <x:f>DAY(EOMONTH(A37,0))</x:f>
        <x:v>30</x:v>
      </x:c>
      <x:c r="E37" s="10" t="n">
        <x:f>B37/D37</x:f>
        <x:v>596.3333333333334</x:v>
      </x:c>
      <x:c r="F37" s="10" t="n">
        <x:f>10*C37/B37</x:f>
        <x:v>1338.7367244270542</x:v>
      </x:c>
      <x:c r="G37" s="11" t="n">
        <x:f>B37/B36-1</x:f>
        <x:v>-0.022404371584699434</x:v>
      </x:c>
      <x:c r="H37" s="11" t="n">
        <x:f>E37/E36-1</x:f>
        <x:v>0.010182149362477189</x:v>
      </x:c>
      <x:c r="I37" s="11" t="n">
        <x:f>B37/B25-1</x:f>
        <x:v>0.34511278195488715</x:v>
      </x:c>
      <x:c r="J37" s="2" t="str">
        <x:v>Secondary, rounded</x:v>
      </x:c>
      <x:c r="K37" s="2" t="str">
        <x:f>TEXT(A37,"mmm yy")</x:f>
        <x:v>Apr 25</x:v>
      </x:c>
      <x:c r="L37" s="12" t="n">
        <x:f>B37/1000</x:f>
        <x:v>17.89</x:v>
      </x:c>
    </x:row>
    <x:row r="38" ht="23" customHeight="1">
      <x:c r="A38" s="9" t="n">
        <x:v>45778</x:v>
      </x:c>
      <x:c r="B38" s="10" t="n">
        <x:v>18680</x:v>
      </x:c>
      <x:c r="C38" s="10" t="n">
        <x:v>2514000</x:v>
      </x:c>
      <x:c r="D38" s="2" t="n">
        <x:f>DAY(EOMONTH(A38,0))</x:f>
        <x:v>31</x:v>
      </x:c>
      <x:c r="E38" s="10" t="n">
        <x:f>B38/D38</x:f>
        <x:v>602.5806451612904</x:v>
      </x:c>
      <x:c r="F38" s="10" t="n">
        <x:f>10*C38/B38</x:f>
        <x:v>1345.8244111349036</x:v>
      </x:c>
      <x:c r="G38" s="11" t="n">
        <x:f>B38/B37-1</x:f>
        <x:v>0.04415874790385699</x:v>
      </x:c>
      <x:c r="H38" s="11" t="n">
        <x:f>E38/E37-1</x:f>
        <x:v>0.010476207648893787</x:v>
      </x:c>
      <x:c r="I38" s="11" t="n">
        <x:f>B38/B26-1</x:f>
        <x:v>0.33048433048433057</x:v>
      </x:c>
      <x:c r="J38" s="2" t="str">
        <x:v>Secondary, rounded</x:v>
      </x:c>
      <x:c r="K38" s="2" t="str">
        <x:f>TEXT(A38,"mmm yy")</x:f>
        <x:v>May 25</x:v>
      </x:c>
      <x:c r="L38" s="12" t="n">
        <x:f>B38/1000</x:f>
        <x:v>18.68</x:v>
      </x:c>
    </x:row>
    <x:row r="39" ht="23" customHeight="1">
      <x:c r="A39" s="9" t="n">
        <x:v>45809</x:v>
      </x:c>
      <x:c r="B39" s="10" t="n">
        <x:v>18400</x:v>
      </x:c>
      <x:c r="C39" s="10" t="n">
        <x:v>2404000</x:v>
      </x:c>
      <x:c r="D39" s="2" t="n">
        <x:f>DAY(EOMONTH(A39,0))</x:f>
        <x:v>30</x:v>
      </x:c>
      <x:c r="E39" s="10" t="n">
        <x:f>B39/D39</x:f>
        <x:v>613.3333333333334</x:v>
      </x:c>
      <x:c r="F39" s="10" t="n">
        <x:f>10*C39/B39</x:f>
        <x:v>1306.5217391304348</x:v>
      </x:c>
      <x:c r="G39" s="11" t="n">
        <x:f>B39/B38-1</x:f>
        <x:v>-0.01498929336188437</x:v>
      </x:c>
      <x:c r="H39" s="11" t="n">
        <x:f>E39/E38-1</x:f>
        <x:v>0.017844396859386213</x:v>
      </x:c>
      <x:c r="I39" s="11" t="n">
        <x:f>B39/B27-1</x:f>
        <x:v>0.32469402447804185</x:v>
      </x:c>
      <x:c r="J39" s="2" t="str">
        <x:v>Secondary, rounded</x:v>
      </x:c>
      <x:c r="K39" s="2" t="str">
        <x:f>TEXT(A39,"mmm yy")</x:f>
        <x:v>Jun 25</x:v>
      </x:c>
      <x:c r="L39" s="12" t="n">
        <x:f>B39/1000</x:f>
        <x:v>18.4</x:v>
      </x:c>
    </x:row>
    <x:row r="40" ht="23" customHeight="1">
      <x:c r="A40" s="9" t="n">
        <x:v>45839</x:v>
      </x:c>
      <x:c r="B40" s="10" t="n">
        <x:v>19470</x:v>
      </x:c>
      <x:c r="C40" s="10" t="n">
        <x:v>2508000</x:v>
      </x:c>
      <x:c r="D40" s="2" t="n">
        <x:f>DAY(EOMONTH(A40,0))</x:f>
        <x:v>31</x:v>
      </x:c>
      <x:c r="E40" s="10" t="n">
        <x:f>B40/D40</x:f>
        <x:v>628.0645161290323</x:v>
      </x:c>
      <x:c r="F40" s="10" t="n">
        <x:f>10*C40/B40</x:f>
        <x:v>1288.135593220339</x:v>
      </x:c>
      <x:c r="G40" s="11" t="n">
        <x:f>B40/B39-1</x:f>
        <x:v>0.0581521739130435</x:v>
      </x:c>
      <x:c r="H40" s="11" t="n">
        <x:f>E40/E39-1</x:f>
        <x:v>0.024018232819074337</x:v>
      </x:c>
      <x:c r="I40" s="11" t="n">
        <x:f>B40/B28-1</x:f>
        <x:v>0.3483379501385042</x:v>
      </x:c>
      <x:c r="J40" s="2" t="str">
        <x:v>Secondary, rounded</x:v>
      </x:c>
      <x:c r="K40" s="2" t="str">
        <x:f>TEXT(A40,"mmm yy")</x:f>
        <x:v>Jul 25</x:v>
      </x:c>
      <x:c r="L40" s="12" t="n">
        <x:f>B40/1000</x:f>
        <x:v>19.47</x:v>
      </x:c>
    </x:row>
    <x:row r="41" ht="23" customHeight="1">
      <x:c r="A41" s="9" t="n">
        <x:v>45870</x:v>
      </x:c>
      <x:c r="B41" s="10" t="n">
        <x:v>20010</x:v>
      </x:c>
      <x:c r="C41" s="10" t="n">
        <x:v>2485000</x:v>
      </x:c>
      <x:c r="D41" s="2" t="n">
        <x:f>DAY(EOMONTH(A41,0))</x:f>
        <x:v>31</x:v>
      </x:c>
      <x:c r="E41" s="10" t="n">
        <x:f>B41/D41</x:f>
        <x:v>645.483870967742</x:v>
      </x:c>
      <x:c r="F41" s="10" t="n">
        <x:f>10*C41/B41</x:f>
        <x:v>1241.8790604697651</x:v>
      </x:c>
      <x:c r="G41" s="11" t="n">
        <x:f>B41/B40-1</x:f>
        <x:v>0.027734976887519247</x:v>
      </x:c>
      <x:c r="H41" s="11" t="n">
        <x:f>E41/E40-1</x:f>
        <x:v>0.027734976887519247</x:v>
      </x:c>
      <x:c r="I41" s="11" t="n">
        <x:f>B41/B29-1</x:f>
        <x:v>0.33756684491978617</x:v>
      </x:c>
      <x:c r="J41" s="2" t="str">
        <x:v>Secondary, rounded</x:v>
      </x:c>
      <x:c r="K41" s="2" t="str">
        <x:f>TEXT(A41,"mmm yy")</x:f>
        <x:v>Aug 25</x:v>
      </x:c>
      <x:c r="L41" s="12" t="n">
        <x:f>B41/1000</x:f>
        <x:v>20.01</x:v>
      </x:c>
    </x:row>
    <x:row r="42" ht="23" customHeight="1">
      <x:c r="A42" s="9" t="n">
        <x:v>45901</x:v>
      </x:c>
      <x:c r="B42" s="10" t="n">
        <x:v>19630</x:v>
      </x:c>
      <x:c r="C42" s="10" t="n">
        <x:v>2490000</x:v>
      </x:c>
      <x:c r="D42" s="2" t="n">
        <x:f>DAY(EOMONTH(A42,0))</x:f>
        <x:v>30</x:v>
      </x:c>
      <x:c r="E42" s="10" t="n">
        <x:f>B42/D42</x:f>
        <x:v>654.3333333333334</x:v>
      </x:c>
      <x:c r="F42" s="10" t="n">
        <x:f>10*C42/B42</x:f>
        <x:v>1268.4666327050434</x:v>
      </x:c>
      <x:c r="G42" s="11" t="n">
        <x:f>B42/B41-1</x:f>
        <x:v>-0.018990504747626202</x:v>
      </x:c>
      <x:c r="H42" s="11" t="n">
        <x:f>E42/E41-1</x:f>
        <x:v>0.013709811760786339</x:v>
      </x:c>
      <x:c r="I42" s="11" t="n">
        <x:f>B42/B30-1</x:f>
        <x:v>0.30518617021276606</x:v>
      </x:c>
      <x:c r="J42" s="2" t="str">
        <x:v>Secondary, rounded</x:v>
      </x:c>
      <x:c r="K42" s="2" t="str">
        <x:f>TEXT(A42,"mmm yy")</x:f>
        <x:v>Sep 25</x:v>
      </x:c>
      <x:c r="L42" s="12" t="n">
        <x:f>B42/1000</x:f>
        <x:v>19.63</x:v>
      </x:c>
    </x:row>
    <x:row r="43" ht="23" customHeight="1">
      <x:c r="A43" s="9" t="n">
        <x:v>45931</x:v>
      </x:c>
      <x:c r="B43" s="10" t="n">
        <x:v>20700</x:v>
      </x:c>
      <x:c r="C43" s="10" t="n">
        <x:v>2728000</x:v>
      </x:c>
      <x:c r="D43" s="2" t="n">
        <x:f>DAY(EOMONTH(A43,0))</x:f>
        <x:v>31</x:v>
      </x:c>
      <x:c r="E43" s="10" t="n">
        <x:f>B43/D43</x:f>
        <x:v>667.741935483871</x:v>
      </x:c>
      <x:c r="F43" s="10" t="n">
        <x:f>10*C43/B43</x:f>
        <x:v>1317.8743961352657</x:v>
      </x:c>
      <x:c r="G43" s="11" t="n">
        <x:f>B43/B42-1</x:f>
        <x:v>0.05450840550178304</x:v>
      </x:c>
      <x:c r="H43" s="11" t="n">
        <x:f>E43/E42-1</x:f>
        <x:v>0.020492005324306062</x:v>
      </x:c>
      <x:c r="I43" s="11" t="n">
        <x:f>B43/B31-1</x:f>
        <x:v>0.24849215922798562</x:v>
      </x:c>
      <x:c r="J43" s="2" t="str">
        <x:v>Secondary, rounded</x:v>
      </x:c>
      <x:c r="K43" s="2" t="str">
        <x:f>TEXT(A43,"mmm yy")</x:f>
        <x:v>Oct 25</x:v>
      </x:c>
      <x:c r="L43" s="12" t="n">
        <x:f>B43/1000</x:f>
        <x:v>20.7</x:v>
      </x:c>
    </x:row>
    <x:row r="44" ht="23" customHeight="1">
      <x:c r="A44" s="9" t="n">
        <x:v>45962</x:v>
      </x:c>
      <x:c r="B44" s="10" t="n">
        <x:v>20470</x:v>
      </x:c>
      <x:c r="C44" s="10" t="n">
        <x:v>2632000</x:v>
      </x:c>
      <x:c r="D44" s="2" t="n">
        <x:f>DAY(EOMONTH(A44,0))</x:f>
        <x:v>30</x:v>
      </x:c>
      <x:c r="E44" s="10" t="n">
        <x:f>B44/D44</x:f>
        <x:v>682.3333333333334</x:v>
      </x:c>
      <x:c r="F44" s="10" t="n">
        <x:f>10*C44/B44</x:f>
        <x:v>1285.7840742550072</x:v>
      </x:c>
      <x:c r="G44" s="11" t="n">
        <x:f>B44/B43-1</x:f>
        <x:v>-0.011111111111111072</x:v>
      </x:c>
      <x:c r="H44" s="11" t="n">
        <x:f>E44/E43-1</x:f>
        <x:v>0.02185185185185179</x:v>
      </x:c>
      <x:c r="I44" s="11" t="n">
        <x:f>B44/B32-1</x:f>
        <x:v>0.32235142118863047</x:v>
      </x:c>
      <x:c r="J44" s="2" t="str">
        <x:v>Secondary, rounded</x:v>
      </x:c>
      <x:c r="K44" s="2" t="str">
        <x:f>TEXT(A44,"mmm yy")</x:f>
        <x:v>Nov 25</x:v>
      </x:c>
      <x:c r="L44" s="12" t="n">
        <x:f>B44/1000</x:f>
        <x:v>20.47</x:v>
      </x:c>
    </x:row>
    <x:row r="45" ht="23" customHeight="1">
      <x:c r="A45" s="9" t="n">
        <x:v>45992</x:v>
      </x:c>
      <x:c r="B45" s="10" t="n">
        <x:v>21630</x:v>
      </x:c>
      <x:c r="C45" s="10" t="n">
        <x:v>2797000</x:v>
      </x:c>
      <x:c r="D45" s="2" t="n">
        <x:f>DAY(EOMONTH(A45,0))</x:f>
        <x:v>31</x:v>
      </x:c>
      <x:c r="E45" s="10" t="n">
        <x:f>B45/D45</x:f>
        <x:v>697.741935483871</x:v>
      </x:c>
      <x:c r="F45" s="10" t="n">
        <x:f>10*C45/B45</x:f>
        <x:v>1293.1114193250116</x:v>
      </x:c>
      <x:c r="G45" s="11" t="n">
        <x:f>B45/B44-1</x:f>
        <x:v>0.05666829506595028</x:v>
      </x:c>
      <x:c r="H45" s="11" t="n">
        <x:f>E45/E44-1</x:f>
        <x:v>0.02258222103156471</x:v>
      </x:c>
      <x:c r="I45" s="11" t="n">
        <x:f>B45/B33-1</x:f>
        <x:v>0.2928870292887029</x:v>
      </x:c>
      <x:c r="J45" s="2" t="str">
        <x:v>Secondary, rounded</x:v>
      </x:c>
      <x:c r="K45" s="2" t="str">
        <x:f>TEXT(A45,"mmm yy")</x:f>
        <x:v>Dec 25</x:v>
      </x:c>
      <x:c r="L45" s="12" t="n">
        <x:f>B45/1000</x:f>
        <x:v>21.63</x:v>
      </x:c>
    </x:row>
    <x:row r="46" ht="23" customHeight="1">
      <x:c r="A46" s="9" t="n">
        <x:v>46023</x:v>
      </x:c>
      <x:c r="B46" s="10" t="n">
        <x:v>21700</x:v>
      </x:c>
      <x:c r="C46" s="10" t="n">
        <x:v>2833000</x:v>
      </x:c>
      <x:c r="D46" s="2" t="n">
        <x:f>DAY(EOMONTH(A46,0))</x:f>
        <x:v>31</x:v>
      </x:c>
      <x:c r="E46" s="10" t="n">
        <x:f>B46/D46</x:f>
        <x:v>700</x:v>
      </x:c>
      <x:c r="F46" s="10" t="n">
        <x:f>10*C46/B46</x:f>
        <x:v>1305.5299539170508</x:v>
      </x:c>
      <x:c r="G46" s="11" t="n">
        <x:f>B46/B45-1</x:f>
        <x:v>0.003236245954692629</x:v>
      </x:c>
      <x:c r="H46" s="11" t="n">
        <x:f>E46/E45-1</x:f>
        <x:v>0.003236245954692629</x:v>
      </x:c>
      <x:c r="I46" s="11" t="n">
        <x:f>B46/B34-1</x:f>
        <x:v>0.276470588235294</x:v>
      </x:c>
      <x:c r="J46" s="2" t="str">
        <x:v>Secondary, rounded</x:v>
      </x:c>
      <x:c r="K46" s="2" t="str">
        <x:f>TEXT(A46,"mmm yy")</x:f>
        <x:v>Jan 26</x:v>
      </x:c>
      <x:c r="L46" s="12" t="n">
        <x:f>B46/1000</x:f>
        <x:v>21.7</x:v>
      </x:c>
    </x:row>
    <x:row r="47" ht="23" customHeight="1">
      <x:c r="A47" s="9" t="n">
        <x:v>46054</x:v>
      </x:c>
      <x:c r="B47" s="10" t="n">
        <x:v>20390</x:v>
      </x:c>
      <x:c r="C47" s="10" t="n">
        <x:v>2684000</x:v>
      </x:c>
      <x:c r="D47" s="2" t="n">
        <x:f>DAY(EOMONTH(A47,0))</x:f>
        <x:v>28</x:v>
      </x:c>
      <x:c r="E47" s="10" t="n">
        <x:f>B47/D47</x:f>
        <x:v>728.2142857142857</x:v>
      </x:c>
      <x:c r="F47" s="10" t="n">
        <x:f>10*C47/B47</x:f>
        <x:v>1316.331535066209</x:v>
      </x:c>
      <x:c r="G47" s="11" t="n">
        <x:f>B47/B46-1</x:f>
        <x:v>-0.06036866359447002</x:v>
      </x:c>
      <x:c r="H47" s="11" t="n">
        <x:f>E47/E46-1</x:f>
        <x:v>0.040306122448979576</x:v>
      </x:c>
      <x:c r="I47" s="11" t="n">
        <x:f>B47/B35-1</x:f>
        <x:v>0.265673494723774</x:v>
      </x:c>
      <x:c r="J47" s="2" t="str">
        <x:v>Secondary, rounded</x:v>
      </x:c>
      <x:c r="K47" s="2" t="str">
        <x:f>TEXT(A47,"mmm yy")</x:f>
        <x:v>Feb 26</x:v>
      </x:c>
      <x:c r="L47" s="12" t="n">
        <x:f>B47/1000</x:f>
        <x:v>20.39</x:v>
      </x:c>
    </x:row>
    <x:row r="48" ht="23" customHeight="1">
      <x:c r="A48" s="9" t="n">
        <x:v>46082</x:v>
      </x:c>
      <x:c r="B48" s="10" t="n">
        <x:v>22640</x:v>
      </x:c>
      <x:c r="C48" s="10" t="n">
        <x:v>2953000</x:v>
      </x:c>
      <x:c r="D48" s="2" t="n">
        <x:f>DAY(EOMONTH(A48,0))</x:f>
        <x:v>31</x:v>
      </x:c>
      <x:c r="E48" s="10" t="n">
        <x:f>B48/D48</x:f>
        <x:v>730.3225806451613</x:v>
      </x:c>
      <x:c r="F48" s="10" t="n">
        <x:f>10*C48/B48</x:f>
        <x:v>1304.3286219081272</x:v>
      </x:c>
      <x:c r="G48" s="11" t="n">
        <x:f>B48/B47-1</x:f>
        <x:v>0.11034820990681715</x:v>
      </x:c>
      <x:c r="H48" s="11" t="n">
        <x:f>E48/E47-1</x:f>
        <x:v>0.0028951573351896354</x:v>
      </x:c>
      <x:c r="I48" s="11" t="n">
        <x:f>B48/B36-1</x:f>
        <x:v>0.23715846994535528</x:v>
      </x:c>
      <x:c r="J48" s="2" t="str">
        <x:v>Secondary, rounded</x:v>
      </x:c>
      <x:c r="K48" s="2" t="str">
        <x:f>TEXT(A48,"mmm yy")</x:f>
        <x:v>Mar 26</x:v>
      </x:c>
      <x:c r="L48" s="12" t="n">
        <x:f>B48/1000</x:f>
        <x:v>22.64</x:v>
      </x:c>
    </x:row>
    <x:row r="49" ht="23" customHeight="1">
      <x:c r="A49" s="9" t="n">
        <x:v>46113</x:v>
      </x:c>
      <x:c r="B49" s="10" t="n">
        <x:v>22346.8</x:v>
      </x:c>
      <x:c r="C49" s="10" t="n">
        <x:v>2902988.05</x:v>
      </x:c>
      <x:c r="D49" s="2" t="n">
        <x:f>DAY(EOMONTH(A49,0))</x:f>
        <x:v>30</x:v>
      </x:c>
      <x:c r="E49" s="10" t="n">
        <x:f>B49/D49</x:f>
        <x:v>744.8933333333333</x:v>
      </x:c>
      <x:c r="F49" s="10" t="n">
        <x:f>10*C49/B49</x:f>
        <x:v>1299.0620804768469</x:v>
      </x:c>
      <x:c r="G49" s="11" t="n">
        <x:f>B49/B48-1</x:f>
        <x:v>-0.01295053003533575</x:v>
      </x:c>
      <x:c r="H49" s="11" t="n">
        <x:f>E49/E48-1</x:f>
        <x:v>0.019951118963486447</x:v>
      </x:c>
      <x:c r="I49" s="11" t="n">
        <x:f>B49/B37-1</x:f>
        <x:v>0.24912241475684738</x:v>
      </x:c>
      <x:c r="J49" s="2" t="str">
        <x:v>Official, verified</x:v>
      </x:c>
      <x:c r="K49" s="2" t="str">
        <x:f>TEXT(A49,"mmm yy")</x:f>
        <x:v>Apr 26</x:v>
      </x:c>
      <x:c r="L49" s="12" t="n">
        <x:f>B49/1000</x:f>
        <x:v>22.346799999999998</x:v>
      </x:c>
    </x:row>
    <x:row r="50" ht="23" customHeight="1">
      <x:c r="A50" s="9" t="n">
        <x:v>46143</x:v>
      </x:c>
      <x:c r="B50" s="10" t="n">
        <x:v>23201.93</x:v>
      </x:c>
      <x:c r="C50" s="10" t="n">
        <x:v>2990424.21</x:v>
      </x:c>
      <x:c r="D50" s="2" t="n">
        <x:f>DAY(EOMONTH(A50,0))</x:f>
        <x:v>31</x:v>
      </x:c>
      <x:c r="E50" s="10" t="n">
        <x:f>B50/D50</x:f>
        <x:v>748.4493548387097</x:v>
      </x:c>
      <x:c r="F50" s="10" t="n">
        <x:f>10*C50/B50</x:f>
        <x:v>1288.868732040826</x:v>
      </x:c>
      <x:c r="G50" s="11" t="n">
        <x:f>B50/B49-1</x:f>
        <x:v>0.03826632895985105</x:v>
      </x:c>
      <x:c r="H50" s="11" t="n">
        <x:f>E50/E49-1</x:f>
        <x:v>0.00477386673533986</x:v>
      </x:c>
      <x:c r="I50" s="11" t="n">
        <x:f>B50/B38-1</x:f>
        <x:v>0.2420733404710922</x:v>
      </x:c>
      <x:c r="J50" s="2" t="str">
        <x:v>Official, verified</x:v>
      </x:c>
      <x:c r="K50" s="2" t="str">
        <x:f>TEXT(A50,"mmm yy")</x:f>
        <x:v>May 26</x:v>
      </x:c>
      <x:c r="L50" s="12" t="n">
        <x:f>B50/1000</x:f>
        <x:v>23.20193</x:v>
      </x:c>
    </x:row>
    <x:row r="51" ht="23" customHeight="1">
      <x:c r="A51" s="9" t="n">
        <x:v>46174</x:v>
      </x:c>
      <x:c r="B51" s="10" t="n">
        <x:v>22716.07</x:v>
      </x:c>
      <x:c r="C51" s="10" t="n">
        <x:v>2892138.67</x:v>
      </x:c>
      <x:c r="D51" s="2" t="n">
        <x:f>DAY(EOMONTH(A51,0))</x:f>
        <x:v>30</x:v>
      </x:c>
      <x:c r="E51" s="10" t="n">
        <x:f>B51/D51</x:f>
        <x:v>757.2023333333333</x:v>
      </x:c>
      <x:c r="F51" s="10" t="n">
        <x:f>10*C51/B51</x:f>
        <x:v>1273.1685850589472</x:v>
      </x:c>
      <x:c r="G51" s="11" t="n">
        <x:f>B51/B50-1</x:f>
        <x:v>-0.02094049934639064</x:v>
      </x:c>
      <x:c r="H51" s="11" t="n">
        <x:f>E51/E50-1</x:f>
        <x:v>0.011694817342063013</x:v>
      </x:c>
      <x:c r="I51" s="11" t="n">
        <x:f>B51/B39-1</x:f>
        <x:v>0.23456902173913052</x:v>
      </x:c>
      <x:c r="J51" s="2" t="str">
        <x:v>Official, verified</x:v>
      </x:c>
      <x:c r="K51" s="2" t="str">
        <x:f>TEXT(A51,"mmm yy")</x:f>
        <x:v>Jun 26</x:v>
      </x:c>
      <x:c r="L51" s="12" t="n">
        <x:f>B51/1000</x:f>
        <x:v>22.71607</x:v>
      </x:c>
    </x:row>
    <x:row r="52" ht="23" customHeight="1">
      <x:c r="A52" s="9" t="n">
        <x:v>46204</x:v>
      </x:c>
      <x:c r="B52" s="10" t="n">
        <x:v>23658.35</x:v>
      </x:c>
      <x:c r="C52" s="10" t="n">
        <x:v>2987880.49</x:v>
      </x:c>
      <x:c r="D52" s="2" t="n">
        <x:f>DAY(EOMONTH(A52,0))</x:f>
        <x:v>31</x:v>
      </x:c>
      <x:c r="E52" s="10" t="n">
        <x:f>B52/D52</x:f>
        <x:v>763.1725806451612</x:v>
      </x:c>
      <x:c r="F52" s="10" t="n">
        <x:f>10*C52/B52</x:f>
        <x:v>1262.9285178383109</x:v>
      </x:c>
      <x:c r="G52" s="11" t="n">
        <x:f>B52/B51-1</x:f>
        <x:v>0.04148076669952139</x:v>
      </x:c>
      <x:c r="H52" s="11" t="n">
        <x:f>E52/E51-1</x:f>
        <x:v>0.00788461293502074</x:v>
      </x:c>
      <x:c r="I52" s="11" t="n">
        <x:f>B52/B40-1</x:f>
        <x:v>0.21511813045711348</x:v>
      </x:c>
      <x:c r="J52" s="2" t="str">
        <x:v>Official, verified</x:v>
      </x:c>
      <x:c r="K52" s="2" t="str">
        <x:f>TEXT(A52,"mmm yy")</x:f>
        <x:v>Jul 26</x:v>
      </x:c>
      <x:c r="L52" s="12" t="n">
        <x:f>B52/1000</x:f>
        <x:v>23.65835</x:v>
      </x:c>
    </x:row>
    <x:row r="53" ht="23" customHeight="1">
      <x:c r="A53" s="9" t="n">
        <x:v>46235</x:v>
      </x:c>
      <x:c r="B53" s="10" t="n">
        <x:v>24508.96</x:v>
      </x:c>
      <x:c r="C53" s="10" t="n">
        <x:v>2982355.95</x:v>
      </x:c>
      <x:c r="D53" s="2" t="n">
        <x:f>DAY(EOMONTH(A53,0))</x:f>
        <x:v>31</x:v>
      </x:c>
      <x:c r="E53" s="10" t="n">
        <x:f>B53/D53</x:f>
        <x:v>790.6116129032258</x:v>
      </x:c>
      <x:c r="F53" s="10" t="n">
        <x:f>10*C53/B53</x:f>
        <x:v>1216.8431259425124</x:v>
      </x:c>
      <x:c r="G53" s="11" t="n">
        <x:f>B53/B52-1</x:f>
        <x:v>0.0359539021106714</x:v>
      </x:c>
      <x:c r="H53" s="11" t="n">
        <x:f>E53/E52-1</x:f>
        <x:v>0.0359539021106714</x:v>
      </x:c>
      <x:c r="I53" s="11" t="n">
        <x:f>B53/B41-1</x:f>
        <x:v>0.22483558220889543</x:v>
      </x:c>
      <x:c r="J53" s="2" t="str">
        <x:v>Official, verified</x:v>
      </x:c>
      <x:c r="K53" s="2" t="str">
        <x:f>TEXT(A53,"mmm yy")</x:f>
        <x:v>Aug 26</x:v>
      </x:c>
      <x:c r="L53" s="12" t="n">
        <x:f>B53/1000</x:f>
        <x:v>24.50896</x:v>
      </x:c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pageMargins left="0.7" right="0.7" top="0.75" bottom="0.75" header="0.3" footer="0.3"/>
  <x:tableParts count="1">
    <x:tablePart xmlns:r="http://schemas.openxmlformats.org/officeDocument/2006/relationships" r:id="Rb16326bbc0374ad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6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Merchant categories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 t="str">
        <x:v>Source: https://data.indiadispatch.com/payments | Aug 2026, 29 displayed categories. Figures are rounded.</x:v>
      </x:c>
      <x:c r="B3" s="2"/>
      <x:c r="C3" s="2"/>
      <x:c r="D3" s="2"/>
      <x:c r="E3" s="2"/>
      <x:c r="F3" s="2"/>
      <x:c r="G3" s="2"/>
      <x:c r="H3" s="2"/>
    </x:row>
    <x:row r="4" ht="23" customHeight="1">
      <x:c r="A4" s="4" t="str">
        <x:v>Shares use these 29 categories only. Growth is reported; unavailable YoY values remain blank.</x:v>
      </x:c>
      <x:c r="B4" s="2"/>
      <x:c r="C4" s="2"/>
      <x:c r="D4" s="2"/>
      <x:c r="E4" s="2"/>
      <x:c r="F4" s="2"/>
      <x:c r="G4" s="2"/>
      <x:c r="H4" s="2"/>
    </x:row>
    <x:row r="5" ht="35" customHeight="1">
      <x:c r="A5" s="8" t="str">
        <x:v>MCC</x:v>
      </x:c>
      <x:c r="B5" s="8" t="str">
        <x:v>Merchant category</x:v>
      </x:c>
      <x:c r="C5" s="8" t="str">
        <x:v>Volume (mn)</x:v>
      </x:c>
      <x:c r="D5" s="8" t="str">
        <x:v>Value (INR cr)</x:v>
      </x:c>
      <x:c r="E5" s="8" t="str">
        <x:v>Ticket (INR)</x:v>
      </x:c>
      <x:c r="F5" s="8" t="str">
        <x:v>Reported MoM</x:v>
      </x:c>
      <x:c r="G5" s="8" t="str">
        <x:v>Observed share</x:v>
      </x:c>
      <x:c r="H5" s="8" t="str">
        <x:v>Reported YoY</x:v>
      </x:c>
    </x:row>
    <x:row r="6" ht="28" customHeight="1">
      <x:c r="A6" s="2" t="str">
        <x:v>5411</x:v>
      </x:c>
      <x:c r="B6" s="13" t="str">
        <x:v>Groceries &amp; supermarkets</x:v>
      </x:c>
      <x:c r="C6" s="14" t="n">
        <x:v>4000</x:v>
      </x:c>
      <x:c r="D6" s="14" t="n">
        <x:v>86882</x:v>
      </x:c>
      <x:c r="E6" s="14" t="n">
        <x:f>D6*10/C6</x:f>
        <x:v>217.205</x:v>
      </x:c>
      <x:c r="F6" s="11" t="n">
        <x:v>0.039</x:v>
      </x:c>
      <x:c r="G6" s="11" t="n">
        <x:f>C6/SUM($C$6:$C$34)</x:f>
        <x:v>0.31912432285807735</x:v>
      </x:c>
      <x:c r="H6" s="11" t="n">
        <x:v>0.277</x:v>
      </x:c>
    </x:row>
    <x:row r="7" ht="28" customHeight="1">
      <x:c r="A7" s="2" t="str">
        <x:v>5814</x:v>
      </x:c>
      <x:c r="B7" s="13" t="str">
        <x:v>Fast food restaurants</x:v>
      </x:c>
      <x:c r="C7" s="14" t="n">
        <x:v>1520</x:v>
      </x:c>
      <x:c r="D7" s="14" t="n">
        <x:v>18507</x:v>
      </x:c>
      <x:c r="E7" s="14" t="n">
        <x:f>D7*10/C7</x:f>
        <x:v>121.75657894736842</x:v>
      </x:c>
      <x:c r="F7" s="11" t="n">
        <x:v>0.026</x:v>
      </x:c>
      <x:c r="G7" s="11" t="n">
        <x:f>C7/SUM($C$6:$C$34)</x:f>
        <x:v>0.12126724268606939</x:v>
      </x:c>
      <x:c r="H7" s="11" t="n">
        <x:v>0.201</x:v>
      </x:c>
    </x:row>
    <x:row r="8" ht="28" customHeight="1">
      <x:c r="A8" s="2" t="str">
        <x:v>5812</x:v>
      </x:c>
      <x:c r="B8" s="13" t="str">
        <x:v>Eating places &amp; restaurants</x:v>
      </x:c>
      <x:c r="C8" s="14" t="n">
        <x:v>1300</x:v>
      </x:c>
      <x:c r="D8" s="14" t="n">
        <x:v>22663</x:v>
      </x:c>
      <x:c r="E8" s="14" t="n">
        <x:f>D8*10/C8</x:f>
        <x:v>174.33076923076922</x:v>
      </x:c>
      <x:c r="F8" s="11" t="n">
        <x:v>0.024</x:v>
      </x:c>
      <x:c r="G8" s="11" t="n">
        <x:f>C8/SUM($C$6:$C$34)</x:f>
        <x:v>0.10371540492887514</x:v>
      </x:c>
      <x:c r="H8" s="11" t="n">
        <x:v>0.099</x:v>
      </x:c>
    </x:row>
    <x:row r="9" ht="28" customHeight="1">
      <x:c r="A9" s="2" t="str">
        <x:v>4814</x:v>
      </x:c>
      <x:c r="B9" s="13" t="str">
        <x:v>Telecommunication services</x:v>
      </x:c>
      <x:c r="C9" s="14" t="n">
        <x:v>817.8</x:v>
      </x:c>
      <x:c r="D9" s="14" t="n">
        <x:v>23262</x:v>
      </x:c>
      <x:c r="E9" s="14" t="n">
        <x:f>D9*10/C9</x:f>
        <x:v>284.44607483492297</x:v>
      </x:c>
      <x:c r="F9" s="11" t="n">
        <x:v>-0.024</x:v>
      </x:c>
      <x:c r="G9" s="11" t="n">
        <x:f>C9/SUM($C$6:$C$34)</x:f>
        <x:v>0.06524496780833391</x:v>
      </x:c>
      <x:c r="H9" s="11" t="n">
        <x:v>-0.055</x:v>
      </x:c>
    </x:row>
    <x:row r="10" ht="28" customHeight="1">
      <x:c r="A10" s="2" t="str">
        <x:v>5541</x:v>
      </x:c>
      <x:c r="B10" s="13" t="str">
        <x:v>Service stations</x:v>
      </x:c>
      <x:c r="C10" s="14" t="n">
        <x:v>772.9</x:v>
      </x:c>
      <x:c r="D10" s="14" t="n">
        <x:v>44193</x:v>
      </x:c>
      <x:c r="E10" s="14" t="n">
        <x:f>D10*10/C10</x:f>
        <x:v>571.7816017596067</x:v>
      </x:c>
      <x:c r="F10" s="11" t="n">
        <x:v>0.04</x:v>
      </x:c>
      <x:c r="G10" s="11" t="n">
        <x:f>C10/SUM($C$6:$C$34)</x:f>
        <x:v>0.061662797284251995</x:v>
      </x:c>
      <x:c r="H10" s="11" t="n">
        <x:v>0.233</x:v>
      </x:c>
    </x:row>
    <x:row r="11" ht="28" customHeight="1">
      <x:c r="A11" s="2" t="str">
        <x:v>5462</x:v>
      </x:c>
      <x:c r="B11" s="13" t="str">
        <x:v>Bakeries</x:v>
      </x:c>
      <x:c r="C11" s="14" t="n">
        <x:v>515.4</x:v>
      </x:c>
      <x:c r="D11" s="14" t="n">
        <x:v>7231</x:v>
      </x:c>
      <x:c r="E11" s="14" t="n">
        <x:f>D11*10/C11</x:f>
        <x:v>140.2987970508343</x:v>
      </x:c>
      <x:c r="F11" s="11" t="n">
        <x:v>0.083</x:v>
      </x:c>
      <x:c r="G11" s="11" t="n">
        <x:f>C11/SUM($C$6:$C$34)</x:f>
        <x:v>0.041119169000263266</x:v>
      </x:c>
      <x:c r="H11" s="11" t="n">
        <x:v>0.9</x:v>
      </x:c>
    </x:row>
    <x:row r="12" ht="28" customHeight="1">
      <x:c r="A12" s="2" t="str">
        <x:v>5993</x:v>
      </x:c>
      <x:c r="B12" s="13" t="str">
        <x:v>Cigar shops &amp; stands</x:v>
      </x:c>
      <x:c r="C12" s="14" t="n">
        <x:v>470.5</x:v>
      </x:c>
      <x:c r="D12" s="14" t="n">
        <x:v>3058</x:v>
      </x:c>
      <x:c r="E12" s="14" t="n">
        <x:f>D12*10/C12</x:f>
        <x:v>64.99468650371945</x:v>
      </x:c>
      <x:c r="F12" s="11" t="n">
        <x:v>0.06</x:v>
      </x:c>
      <x:c r="G12" s="11" t="n">
        <x:f>C12/SUM($C$6:$C$34)</x:f>
        <x:v>0.037536998476181346</x:v>
      </x:c>
      <x:c r="H12" s="11" t="n">
        <x:v>0.425</x:v>
      </x:c>
    </x:row>
    <x:row r="13" ht="28" customHeight="1">
      <x:c r="A13" s="2" t="str">
        <x:v>5912</x:v>
      </x:c>
      <x:c r="B13" s="13" t="str">
        <x:v>Drug stores &amp; pharmacies</x:v>
      </x:c>
      <x:c r="C13" s="14" t="n">
        <x:v>335.9</x:v>
      </x:c>
      <x:c r="D13" s="14" t="n">
        <x:v>13866</x:v>
      </x:c>
      <x:c r="E13" s="14" t="n">
        <x:f>D13*10/C13</x:f>
        <x:v>412.80142899672524</x:v>
      </x:c>
      <x:c r="F13" s="11" t="n">
        <x:v>0.077</x:v>
      </x:c>
      <x:c r="G13" s="11" t="n">
        <x:f>C13/SUM($C$6:$C$34)</x:f>
        <x:v>0.026798465012007045</x:v>
      </x:c>
      <x:c r="H13" s="11" t="n">
        <x:v>0.042</x:v>
      </x:c>
    </x:row>
    <x:row r="14" ht="28" customHeight="1">
      <x:c r="A14" s="2" t="str">
        <x:v>5451</x:v>
      </x:c>
      <x:c r="B14" s="13" t="str">
        <x:v>Dairies</x:v>
      </x:c>
      <x:c r="C14" s="14" t="n">
        <x:v>298.2</x:v>
      </x:c>
      <x:c r="D14" s="14" t="n">
        <x:v>6526</x:v>
      </x:c>
      <x:c r="E14" s="14" t="n">
        <x:f>D14*10/C14</x:f>
        <x:v>218.8464118041583</x:v>
      </x:c>
      <x:c r="F14" s="11" t="n">
        <x:v>0.074</x:v>
      </x:c>
      <x:c r="G14" s="11" t="n">
        <x:f>C14/SUM($C$6:$C$34)</x:f>
        <x:v>0.023790718269069665</x:v>
      </x:c>
      <x:c r="H14" s="11" t="n">
        <x:v>0.665</x:v>
      </x:c>
    </x:row>
    <x:row r="15" ht="28" customHeight="1">
      <x:c r="A15" s="2" t="str">
        <x:v>5412</x:v>
      </x:c>
      <x:c r="B15" s="13" t="str">
        <x:v>Purchase of digital gold</x:v>
      </x:c>
      <x:c r="C15" s="14" t="n">
        <x:v>249.2</x:v>
      </x:c>
      <x:c r="D15" s="14" t="n">
        <x:v>2489</x:v>
      </x:c>
      <x:c r="E15" s="14" t="n">
        <x:f>D15*10/C15</x:f>
        <x:v>99.87961476725522</x:v>
      </x:c>
      <x:c r="F15" s="11" t="n">
        <x:v>0.028</x:v>
      </x:c>
      <x:c r="G15" s="11" t="n">
        <x:f>C15/SUM($C$6:$C$34)</x:f>
        <x:v>0.019881445314058218</x:v>
      </x:c>
      <x:c r="H15" s="11" t="n">
        <x:v>1.498</x:v>
      </x:c>
    </x:row>
    <x:row r="16" ht="28" customHeight="1">
      <x:c r="A16" s="2" t="str">
        <x:v>7322</x:v>
      </x:c>
      <x:c r="B16" s="13" t="str">
        <x:v>Debt collection agencies</x:v>
      </x:c>
      <x:c r="C16" s="14" t="n">
        <x:v>215</x:v>
      </x:c>
      <x:c r="D16" s="14" t="n">
        <x:v>73983</x:v>
      </x:c>
      <x:c r="E16" s="14" t="n">
        <x:f>D16*10/C16</x:f>
        <x:v>3441.0697674418607</x:v>
      </x:c>
      <x:c r="F16" s="11" t="n">
        <x:v>0.034</x:v>
      </x:c>
      <x:c r="G16" s="11" t="n">
        <x:f>C16/SUM($C$6:$C$34)</x:f>
        <x:v>0.01715293235362166</x:v>
      </x:c>
      <x:c r="H16" s="11" t="n">
        <x:v>0.419</x:v>
      </x:c>
    </x:row>
    <x:row r="17" ht="28" customHeight="1">
      <x:c r="A17" s="2" t="str">
        <x:v>5921</x:v>
      </x:c>
      <x:c r="B17" s="13" t="str">
        <x:v>Package shops beer, wine and liquor</x:v>
      </x:c>
      <x:c r="C17" s="14" t="n">
        <x:v>215</x:v>
      </x:c>
      <x:c r="D17" s="14" t="n">
        <x:v>8881</x:v>
      </x:c>
      <x:c r="E17" s="14" t="n">
        <x:f>D17*10/C17</x:f>
        <x:v>413.06976744186045</x:v>
      </x:c>
      <x:c r="F17" s="11" t="n">
        <x:v>-0.023</x:v>
      </x:c>
      <x:c r="G17" s="11" t="n">
        <x:f>C17/SUM($C$6:$C$34)</x:f>
        <x:v>0.01715293235362166</x:v>
      </x:c>
      <x:c r="H17" s="11" t="n">
        <x:v>0.441</x:v>
      </x:c>
    </x:row>
    <x:row r="18" ht="28" customHeight="1">
      <x:c r="A18" s="2" t="str">
        <x:v>5262</x:v>
      </x:c>
      <x:c r="B18" s="13" t="str">
        <x:v>Online marketplaces</x:v>
      </x:c>
      <x:c r="C18" s="14" t="n">
        <x:v>186</x:v>
      </x:c>
      <x:c r="D18" s="14" t="n">
        <x:v>9961</x:v>
      </x:c>
      <x:c r="E18" s="14" t="n">
        <x:f>D18*10/C18</x:f>
        <x:v>535.5376344086021</x:v>
      </x:c>
      <x:c r="F18" s="11" t="n">
        <x:v>0.029</x:v>
      </x:c>
      <x:c r="G18" s="11" t="n">
        <x:f>C18/SUM($C$6:$C$34)</x:f>
        <x:v>0.014839281012900597</x:v>
      </x:c>
      <x:c r="H18" s="11" t="n">
        <x:v>0.517</x:v>
      </x:c>
    </x:row>
    <x:row r="19" ht="28" customHeight="1">
      <x:c r="A19" s="2" t="str">
        <x:v>9399</x:v>
      </x:c>
      <x:c r="B19" s="13" t="str">
        <x:v>Government services not elsewhere classified</x:v>
      </x:c>
      <x:c r="C19" s="14" t="n">
        <x:v>152.6</x:v>
      </x:c>
      <x:c r="D19" s="14" t="n">
        <x:v>11032</x:v>
      </x:c>
      <x:c r="E19" s="14" t="n">
        <x:f>D19*10/C19</x:f>
        <x:v>722.9357798165138</x:v>
      </x:c>
      <x:c r="F19" s="11" t="n">
        <x:v>-0.011</x:v>
      </x:c>
      <x:c r="G19" s="11" t="n">
        <x:f>C19/SUM($C$6:$C$34)</x:f>
        <x:v>0.01217459291703565</x:v>
      </x:c>
      <x:c r="H19" s="11" t="n">
        <x:v>0.416</x:v>
      </x:c>
    </x:row>
    <x:row r="20" ht="28" customHeight="1">
      <x:c r="A20" s="2" t="str">
        <x:v>4900</x:v>
      </x:c>
      <x:c r="B20" s="13" t="str">
        <x:v>Utilities electric, gas, water and sanitary</x:v>
      </x:c>
      <x:c r="C20" s="14" t="n">
        <x:v>149.6</x:v>
      </x:c>
      <x:c r="D20" s="14" t="n">
        <x:v>24636</x:v>
      </x:c>
      <x:c r="E20" s="14" t="n">
        <x:f>D20*10/C20</x:f>
        <x:v>1646.7914438502673</x:v>
      </x:c>
      <x:c r="F20" s="11" t="n">
        <x:v>0.022</x:v>
      </x:c>
      <x:c r="G20" s="11" t="n">
        <x:f>C20/SUM($C$6:$C$34)</x:f>
        <x:v>0.011935249674892092</x:v>
      </x:c>
      <x:c r="H20" s="11" t="n">
        <x:v>-0.125</x:v>
      </x:c>
    </x:row>
    <x:row r="21" ht="28" customHeight="1">
      <x:c r="A21" s="2" t="str">
        <x:v>5441</x:v>
      </x:c>
      <x:c r="B21" s="13" t="str">
        <x:v>Candy, nut and confectionery shops</x:v>
      </x:c>
      <x:c r="C21" s="14" t="n">
        <x:v>136.3</x:v>
      </x:c>
      <x:c r="D21" s="14" t="n">
        <x:v>2817</x:v>
      </x:c>
      <x:c r="E21" s="14" t="n">
        <x:f>D21*10/C21</x:f>
        <x:v>206.67644900953778</x:v>
      </x:c>
      <x:c r="F21" s="11" t="n">
        <x:v>0.16</x:v>
      </x:c>
      <x:c r="G21" s="11" t="n">
        <x:f>C21/SUM($C$6:$C$34)</x:f>
        <x:v>0.010874161301388987</x:v>
      </x:c>
      <x:c r="H21" s="11" t="n">
        <x:v>0.184</x:v>
      </x:c>
    </x:row>
    <x:row r="22" ht="28" customHeight="1">
      <x:c r="A22" s="2" t="str">
        <x:v>5422</x:v>
      </x:c>
      <x:c r="B22" s="13" t="str">
        <x:v>Freezer and locker meat provisioners</x:v>
      </x:c>
      <x:c r="C22" s="14" t="n">
        <x:v>121.5</x:v>
      </x:c>
      <x:c r="D22" s="14" t="n">
        <x:v>4217</x:v>
      </x:c>
      <x:c r="E22" s="14" t="n">
        <x:f>D22*10/C22</x:f>
        <x:v>347.0781893004115</x:v>
      </x:c>
      <x:c r="F22" s="11" t="n">
        <x:v>-0.115</x:v>
      </x:c>
      <x:c r="G22" s="11" t="n">
        <x:f>C22/SUM($C$6:$C$34)</x:f>
        <x:v>0.0096934013068141</x:v>
      </x:c>
      <x:c r="H22" s="11" t="n">
        <x:v>0.19</x:v>
      </x:c>
    </x:row>
    <x:row r="23" ht="28" customHeight="1">
      <x:c r="A23" s="2" t="str">
        <x:v>5331</x:v>
      </x:c>
      <x:c r="B23" s="13" t="str">
        <x:v>Variety stores</x:v>
      </x:c>
      <x:c r="C23" s="14" t="n">
        <x:v>108.6</x:v>
      </x:c>
      <x:c r="D23" s="14" t="n">
        <x:v>4368</x:v>
      </x:c>
      <x:c r="E23" s="14" t="n">
        <x:f>D23*10/C23</x:f>
        <x:v>402.2099447513812</x:v>
      </x:c>
      <x:c r="F23" s="11" t="n">
        <x:v>0.148</x:v>
      </x:c>
      <x:c r="G23" s="11" t="n">
        <x:f>C23/SUM($C$6:$C$34)</x:f>
        <x:v>0.0086642253655968</x:v>
      </x:c>
      <x:c r="H23" s="11" t="n">
        <x:v>0.617</x:v>
      </x:c>
    </x:row>
    <x:row r="24" ht="28" customHeight="1">
      <x:c r="A24" s="2" t="str">
        <x:v>5651</x:v>
      </x:c>
      <x:c r="B24" s="13" t="str">
        <x:v>Family clothing shops</x:v>
      </x:c>
      <x:c r="C24" s="14" t="n">
        <x:v>98.5</x:v>
      </x:c>
      <x:c r="D24" s="14" t="n">
        <x:v>8724</x:v>
      </x:c>
      <x:c r="E24" s="14" t="n">
        <x:f>D24*10/C24</x:f>
        <x:v>885.6852791878173</x:v>
      </x:c>
      <x:c r="F24" s="11" t="n">
        <x:v>0.227</x:v>
      </x:c>
      <x:c r="G24" s="11" t="n">
        <x:f>C24/SUM($C$6:$C$34)</x:f>
        <x:v>0.007858436450380155</x:v>
      </x:c>
      <x:c r="H24" s="11"/>
    </x:row>
    <x:row r="25" ht="28" customHeight="1">
      <x:c r="A25" s="2" t="str">
        <x:v>7230</x:v>
      </x:c>
      <x:c r="B25" s="13" t="str">
        <x:v>Beauty and barber shops</x:v>
      </x:c>
      <x:c r="C25" s="14" t="n">
        <x:v>94</x:v>
      </x:c>
      <x:c r="D25" s="14" t="n">
        <x:v>2635</x:v>
      </x:c>
      <x:c r="E25" s="14" t="n">
        <x:f>D25*10/C25</x:f>
        <x:v>280.3191489361702</x:v>
      </x:c>
      <x:c r="F25" s="11" t="n">
        <x:v>0.067</x:v>
      </x:c>
      <x:c r="G25" s="11" t="n">
        <x:f>C25/SUM($C$6:$C$34)</x:f>
        <x:v>0.007499421587164818</x:v>
      </x:c>
      <x:c r="H25" s="11" t="n">
        <x:v>0.151</x:v>
      </x:c>
    </x:row>
    <x:row r="26" ht="42" customHeight="1">
      <x:c r="A26" s="2" t="str">
        <x:v>5813</x:v>
      </x:c>
      <x:c r="B26" s="13" t="str">
        <x:v>Drinking places (alcoholic beverages) bars, taverns, night-clubs, cocktail lounges and discothèques</x:v>
      </x:c>
      <x:c r="C26" s="14" t="n">
        <x:v>93</x:v>
      </x:c>
      <x:c r="D26" s="14" t="n">
        <x:v>3690</x:v>
      </x:c>
      <x:c r="E26" s="14" t="n">
        <x:f>D26*10/C26</x:f>
        <x:v>396.7741935483871</x:v>
      </x:c>
      <x:c r="F26" s="11" t="n">
        <x:v>-0.004</x:v>
      </x:c>
      <x:c r="G26" s="11" t="n">
        <x:f>C26/SUM($C$6:$C$34)</x:f>
        <x:v>0.007419640506450298</x:v>
      </x:c>
      <x:c r="H26" s="11" t="n">
        <x:v>0.055</x:v>
      </x:c>
    </x:row>
    <x:row r="27" ht="28" customHeight="1">
      <x:c r="A27" s="2" t="str">
        <x:v>5691</x:v>
      </x:c>
      <x:c r="B27" s="13" t="str">
        <x:v>Mens and womens clothing shops</x:v>
      </x:c>
      <x:c r="C27" s="14" t="n">
        <x:v>92.7</x:v>
      </x:c>
      <x:c r="D27" s="14" t="n">
        <x:v>11085</x:v>
      </x:c>
      <x:c r="E27" s="14" t="n">
        <x:f>D27*10/C27</x:f>
        <x:v>1195.7928802588997</x:v>
      </x:c>
      <x:c r="F27" s="11" t="n">
        <x:v>-0.123</x:v>
      </x:c>
      <x:c r="G27" s="11" t="n">
        <x:f>C27/SUM($C$6:$C$34)</x:f>
        <x:v>0.0073957061822359435</x:v>
      </x:c>
      <x:c r="H27" s="11" t="n">
        <x:v>-0.09</x:v>
      </x:c>
    </x:row>
    <x:row r="28" ht="28" customHeight="1">
      <x:c r="A28" s="2" t="str">
        <x:v>5815</x:v>
      </x:c>
      <x:c r="B28" s="13" t="str">
        <x:v>Digital goods: media, books, movies, music</x:v>
      </x:c>
      <x:c r="C28" s="14" t="n">
        <x:v>91</x:v>
      </x:c>
      <x:c r="D28" s="14" t="n">
        <x:v>2072</x:v>
      </x:c>
      <x:c r="E28" s="14" t="n">
        <x:f>D28*10/C28</x:f>
        <x:v>227.69230769230768</x:v>
      </x:c>
      <x:c r="F28" s="11" t="n">
        <x:v>-0.004</x:v>
      </x:c>
      <x:c r="G28" s="11" t="n">
        <x:f>C28/SUM($C$6:$C$34)</x:f>
        <x:v>0.00726007834502126</x:v>
      </x:c>
      <x:c r="H28" s="11"/>
    </x:row>
    <x:row r="29" ht="28" customHeight="1">
      <x:c r="A29" s="2" t="str">
        <x:v>7622</x:v>
      </x:c>
      <x:c r="B29" s="13" t="str">
        <x:v>Electronics repair shops</x:v>
      </x:c>
      <x:c r="C29" s="14" t="n">
        <x:v>87.6</x:v>
      </x:c>
      <x:c r="D29" s="14" t="n">
        <x:v>2432</x:v>
      </x:c>
      <x:c r="E29" s="14" t="n">
        <x:f>D29*10/C29</x:f>
        <x:v>277.6255707762557</x:v>
      </x:c>
      <x:c r="F29" s="11" t="n">
        <x:v>0.018</x:v>
      </x:c>
      <x:c r="G29" s="11" t="n">
        <x:f>C29/SUM($C$6:$C$34)</x:f>
        <x:v>0.006988822670591894</x:v>
      </x:c>
      <x:c r="H29" s="11" t="n">
        <x:v>0.123</x:v>
      </x:c>
    </x:row>
    <x:row r="30" ht="28" customHeight="1">
      <x:c r="A30" s="2" t="str">
        <x:v>5311</x:v>
      </x:c>
      <x:c r="B30" s="13" t="str">
        <x:v>Department stores</x:v>
      </x:c>
      <x:c r="C30" s="14" t="n">
        <x:v>84.8</x:v>
      </x:c>
      <x:c r="D30" s="14" t="n">
        <x:v>5191</x:v>
      </x:c>
      <x:c r="E30" s="14" t="n">
        <x:f>D30*10/C30</x:f>
        <x:v>612.1462264150944</x:v>
      </x:c>
      <x:c r="F30" s="11" t="n">
        <x:v>-0.039</x:v>
      </x:c>
      <x:c r="G30" s="11" t="n">
        <x:f>C30/SUM($C$6:$C$34)</x:f>
        <x:v>0.00676543564459124</x:v>
      </x:c>
      <x:c r="H30" s="11" t="n">
        <x:v>0.212</x:v>
      </x:c>
    </x:row>
    <x:row r="31" ht="28" customHeight="1">
      <x:c r="A31" s="2" t="str">
        <x:v>6211</x:v>
      </x:c>
      <x:c r="B31" s="13" t="str">
        <x:v>Securities brokers and dealers</x:v>
      </x:c>
      <x:c r="C31" s="14" t="n">
        <x:v>84.1</x:v>
      </x:c>
      <x:c r="D31" s="14" t="n">
        <x:v>63667</x:v>
      </x:c>
      <x:c r="E31" s="14" t="n">
        <x:f>D31*10/C31</x:f>
        <x:v>7570.392390011891</x:v>
      </x:c>
      <x:c r="F31" s="11" t="n">
        <x:v>0.017</x:v>
      </x:c>
      <x:c r="G31" s="11" t="n">
        <x:f>C31/SUM($C$6:$C$34)</x:f>
        <x:v>0.006709588888091076</x:v>
      </x:c>
      <x:c r="H31" s="11" t="n">
        <x:v>0.455</x:v>
      </x:c>
    </x:row>
    <x:row r="32" ht="28" customHeight="1">
      <x:c r="A32" s="2" t="str">
        <x:v>4121</x:v>
      </x:c>
      <x:c r="B32" s="13" t="str">
        <x:v>Taxi-cabs and limousines</x:v>
      </x:c>
      <x:c r="C32" s="14" t="n">
        <x:v>82.9</x:v>
      </x:c>
      <x:c r="D32" s="14" t="n">
        <x:v>1205</x:v>
      </x:c>
      <x:c r="E32" s="14" t="n">
        <x:f>D32*10/C32</x:f>
        <x:v>145.3558504221954</x:v>
      </x:c>
      <x:c r="F32" s="11" t="n">
        <x:v>0.04</x:v>
      </x:c>
      <x:c r="G32" s="11" t="n">
        <x:f>C32/SUM($C$6:$C$34)</x:f>
        <x:v>0.006613851591233654</x:v>
      </x:c>
      <x:c r="H32" s="11" t="n">
        <x:v>0.184</x:v>
      </x:c>
    </x:row>
    <x:row r="33" ht="28" customHeight="1">
      <x:c r="A33" s="2" t="str">
        <x:v>5732</x:v>
      </x:c>
      <x:c r="B33" s="13" t="str">
        <x:v>Electronics shops</x:v>
      </x:c>
      <x:c r="C33" s="14" t="n">
        <x:v>82.2</x:v>
      </x:c>
      <x:c r="D33" s="14" t="n">
        <x:v>11113</x:v>
      </x:c>
      <x:c r="E33" s="14" t="n">
        <x:f>D33*10/C33</x:f>
        <x:v>1351.9464720194646</x:v>
      </x:c>
      <x:c r="F33" s="11" t="n">
        <x:v>-0.007</x:v>
      </x:c>
      <x:c r="G33" s="11" t="n">
        <x:f>C33/SUM($C$6:$C$34)</x:f>
        <x:v>0.00655800483473349</x:v>
      </x:c>
      <x:c r="H33" s="11" t="n">
        <x:v>-0.12</x:v>
      </x:c>
    </x:row>
    <x:row r="34" ht="28" customHeight="1">
      <x:c r="A34" s="2" t="str">
        <x:v>5137</x:v>
      </x:c>
      <x:c r="B34" s="13" t="str">
        <x:v>Mens, womens and childrens uniforms and commercial clothing</x:v>
      </x:c>
      <x:c r="C34" s="14" t="n">
        <x:v>79</x:v>
      </x:c>
      <x:c r="D34" s="14" t="n">
        <x:v>7339</x:v>
      </x:c>
      <x:c r="E34" s="14" t="n">
        <x:f>D34*10/C34</x:f>
        <x:v>928.9873417721519</x:v>
      </x:c>
      <x:c r="F34" s="11" t="n">
        <x:v>0.136</x:v>
      </x:c>
      <x:c r="G34" s="11" t="n">
        <x:f>C34/SUM($C$6:$C$34)</x:f>
        <x:v>0.006302705376447028</x:v>
      </x:c>
      <x:c r="H34" s="11" t="n">
        <x:v>0.042</x:v>
      </x:c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</x:row>
  </x:sheetData>
  <x:conditionalFormatting sqref="F6:F34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34f0f2a0fc4ea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6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0" customHeight="1">
      <x:c r="A2" s="3" t="str">
        <x:v>Displayed bank performance</x:v>
      </x:c>
      <x:c r="B2" s="2"/>
      <x:c r="C2" s="2"/>
      <x:c r="D2" s="2"/>
      <x:c r="E2" s="2"/>
      <x:c r="F2" s="2"/>
    </x:row>
    <x:row r="3" ht="23" customHeight="1">
      <x:c r="A3" s="4" t="str">
        <x:v>Source: https://data.indiadispatch.com/payments | Aug 2026. Six selected banks per role; rounded totals.</x:v>
      </x:c>
      <x:c r="B3" s="2"/>
      <x:c r="C3" s="2"/>
      <x:c r="D3" s="2"/>
      <x:c r="E3" s="2"/>
      <x:c r="F3" s="2"/>
    </x:row>
    <x:row r="4" ht="23" customHeight="1">
      <x:c r="A4" s="4" t="str">
        <x:v>Do not add Sending and Receiving. These are selected high-decline samples, not national bank performance.</x:v>
      </x:c>
      <x:c r="B4" s="2"/>
      <x:c r="C4" s="2"/>
      <x:c r="D4" s="2"/>
      <x:c r="E4" s="2"/>
      <x:c r="F4" s="2"/>
    </x:row>
    <x:row r="5" ht="35" customHeight="1">
      <x:c r="A5" s="8" t="str">
        <x:v>Role</x:v>
      </x:c>
      <x:c r="B5" s="8" t="str">
        <x:v>Bank</x:v>
      </x:c>
      <x:c r="C5" s="8" t="str">
        <x:v>Attempts (mn)</x:v>
      </x:c>
      <x:c r="D5" s="8" t="str">
        <x:v>TD rate</x:v>
      </x:c>
      <x:c r="E5" s="8" t="str">
        <x:v>Est. declines (mn)</x:v>
      </x:c>
      <x:c r="F5" s="8" t="str">
        <x:v>Observation</x:v>
      </x:c>
    </x:row>
    <x:row r="6" ht="34" customHeight="1">
      <x:c r="A6" s="2" t="str">
        <x:v>Sending</x:v>
      </x:c>
      <x:c r="B6" s="13" t="str">
        <x:v>Baroda U.P. Bank</x:v>
      </x:c>
      <x:c r="C6" s="14" t="n">
        <x:v>109.7</x:v>
      </x:c>
      <x:c r="D6" s="15" t="n">
        <x:v>0.0244</x:v>
      </x:c>
      <x:c r="E6" s="16" t="n">
        <x:f>C6*D6</x:f>
        <x:v>2.67668</x:v>
      </x:c>
      <x:c r="F6" s="30" t="str">
        <x:v>Aug 2026</x:v>
      </x:c>
    </x:row>
    <x:row r="7" ht="34" customHeight="1">
      <x:c r="A7" s="2" t="str">
        <x:v>Sending</x:v>
      </x:c>
      <x:c r="B7" s="13" t="str">
        <x:v>Central Bank of India</x:v>
      </x:c>
      <x:c r="C7" s="14" t="n">
        <x:v>478.3</x:v>
      </x:c>
      <x:c r="D7" s="15" t="n">
        <x:v>0.0234</x:v>
      </x:c>
      <x:c r="E7" s="16" t="n">
        <x:f>C7*D7</x:f>
        <x:v>11.19222</x:v>
      </x:c>
      <x:c r="F7" s="30" t="str">
        <x:v>Aug 2026</x:v>
      </x:c>
    </x:row>
    <x:row r="8" ht="34" customHeight="1">
      <x:c r="A8" s="2" t="str">
        <x:v>Sending</x:v>
      </x:c>
      <x:c r="B8" s="13" t="str">
        <x:v>Punjab and Sind Bank</x:v>
      </x:c>
      <x:c r="C8" s="14" t="n">
        <x:v>76.9</x:v>
      </x:c>
      <x:c r="D8" s="15" t="n">
        <x:v>0.0195</x:v>
      </x:c>
      <x:c r="E8" s="16" t="n">
        <x:f>C8*D8</x:f>
        <x:v>1.4995500000000002</x:v>
      </x:c>
      <x:c r="F8" s="30" t="str">
        <x:v>Aug 2026</x:v>
      </x:c>
    </x:row>
    <x:row r="9" ht="34" customHeight="1">
      <x:c r="A9" s="2" t="str">
        <x:v>Sending</x:v>
      </x:c>
      <x:c r="B9" s="13" t="str">
        <x:v>Maharashtra Gramin Bank</x:v>
      </x:c>
      <x:c r="C9" s="14" t="n">
        <x:v>45.9</x:v>
      </x:c>
      <x:c r="D9" s="15" t="n">
        <x:v>0.0123</x:v>
      </x:c>
      <x:c r="E9" s="16" t="n">
        <x:f>C9*D9</x:f>
        <x:v>0.56457</x:v>
      </x:c>
      <x:c r="F9" s="30" t="str">
        <x:v>Aug 2026</x:v>
      </x:c>
    </x:row>
    <x:row r="10" ht="34" customHeight="1">
      <x:c r="A10" s="2" t="str">
        <x:v>Sending</x:v>
      </x:c>
      <x:c r="B10" s="13" t="str">
        <x:v>Rajasthan Marudhara Gramin Bank</x:v>
      </x:c>
      <x:c r="C10" s="14" t="n">
        <x:v>78.5</x:v>
      </x:c>
      <x:c r="D10" s="15" t="n">
        <x:v>0.0118</x:v>
      </x:c>
      <x:c r="E10" s="16" t="n">
        <x:f>C10*D10</x:f>
        <x:v>0.9263</x:v>
      </x:c>
      <x:c r="F10" s="30" t="str">
        <x:v>Aug 2026</x:v>
      </x:c>
    </x:row>
    <x:row r="11" ht="34" customHeight="1">
      <x:c r="A11" s="2" t="str">
        <x:v>Sending</x:v>
      </x:c>
      <x:c r="B11" s="13" t="str">
        <x:v>NSDL Payments Bank Limited</x:v>
      </x:c>
      <x:c r="C11" s="14" t="n">
        <x:v>85.1</x:v>
      </x:c>
      <x:c r="D11" s="15" t="n">
        <x:v>0.0117</x:v>
      </x:c>
      <x:c r="E11" s="16" t="n">
        <x:f>C11*D11</x:f>
        <x:v>0.9956699999999999</x:v>
      </x:c>
      <x:c r="F11" s="30" t="str">
        <x:v>Aug 2026</x:v>
      </x:c>
    </x:row>
    <x:row r="12" ht="34" customHeight="1">
      <x:c r="A12" s="2" t="str">
        <x:v>Receiving</x:v>
      </x:c>
      <x:c r="B12" s="13" t="str">
        <x:v>Punjab and Sind Bank</x:v>
      </x:c>
      <x:c r="C12" s="14" t="n">
        <x:v>32</x:v>
      </x:c>
      <x:c r="D12" s="15" t="n">
        <x:v>0.0232</x:v>
      </x:c>
      <x:c r="E12" s="16" t="n">
        <x:f>C12*D12</x:f>
        <x:v>0.7424</x:v>
      </x:c>
      <x:c r="F12" s="30" t="str">
        <x:v>Aug 2026</x:v>
      </x:c>
    </x:row>
    <x:row r="13" ht="34" customHeight="1">
      <x:c r="A13" s="2" t="str">
        <x:v>Receiving</x:v>
      </x:c>
      <x:c r="B13" s="13" t="str">
        <x:v>Baroda U.P. Bank</x:v>
      </x:c>
      <x:c r="C13" s="14" t="n">
        <x:v>57.1</x:v>
      </x:c>
      <x:c r="D13" s="15" t="n">
        <x:v>0.0199</x:v>
      </x:c>
      <x:c r="E13" s="16" t="n">
        <x:f>C13*D13</x:f>
        <x:v>1.13629</x:v>
      </x:c>
      <x:c r="F13" s="30" t="str">
        <x:v>Aug 2026</x:v>
      </x:c>
    </x:row>
    <x:row r="14" ht="34" customHeight="1">
      <x:c r="A14" s="2" t="str">
        <x:v>Receiving</x:v>
      </x:c>
      <x:c r="B14" s="13" t="str">
        <x:v>Central Bank of India</x:v>
      </x:c>
      <x:c r="C14" s="14" t="n">
        <x:v>198.7</x:v>
      </x:c>
      <x:c r="D14" s="15" t="n">
        <x:v>0.0179</x:v>
      </x:c>
      <x:c r="E14" s="16" t="n">
        <x:f>C14*D14</x:f>
        <x:v>3.5567299999999995</x:v>
      </x:c>
      <x:c r="F14" s="30" t="str">
        <x:v>Aug 2026</x:v>
      </x:c>
    </x:row>
    <x:row r="15" ht="34" customHeight="1">
      <x:c r="A15" s="2" t="str">
        <x:v>Receiving</x:v>
      </x:c>
      <x:c r="B15" s="13" t="str">
        <x:v>Dakshin Bihar Gramin Bank (Erstwhile Madhya Bihar Gramin Bank)</x:v>
      </x:c>
      <x:c r="C15" s="14" t="n">
        <x:v>18.8</x:v>
      </x:c>
      <x:c r="D15" s="15" t="n">
        <x:v>0.014</x:v>
      </x:c>
      <x:c r="E15" s="16" t="n">
        <x:f>C15*D15</x:f>
        <x:v>0.2632</x:v>
      </x:c>
      <x:c r="F15" s="30" t="str">
        <x:v>Aug 2026</x:v>
      </x:c>
    </x:row>
    <x:row r="16" ht="34" customHeight="1">
      <x:c r="A16" s="2" t="str">
        <x:v>Receiving</x:v>
      </x:c>
      <x:c r="B16" s="13" t="str">
        <x:v>Maharashtra Gramin Bank</x:v>
      </x:c>
      <x:c r="C16" s="14" t="n">
        <x:v>19.3</x:v>
      </x:c>
      <x:c r="D16" s="15" t="n">
        <x:v>0.0105</x:v>
      </x:c>
      <x:c r="E16" s="16" t="n">
        <x:f>C16*D16</x:f>
        <x:v>0.20265000000000002</x:v>
      </x:c>
      <x:c r="F16" s="30" t="str">
        <x:v>Aug 2026</x:v>
      </x:c>
    </x:row>
    <x:row r="17" ht="34" customHeight="1">
      <x:c r="A17" s="2" t="str">
        <x:v>Receiving</x:v>
      </x:c>
      <x:c r="B17" s="13" t="str">
        <x:v>Canara Bank</x:v>
      </x:c>
      <x:c r="C17" s="14" t="n">
        <x:v>563.8</x:v>
      </x:c>
      <x:c r="D17" s="15" t="n">
        <x:v>0.0079</x:v>
      </x:c>
      <x:c r="E17" s="16" t="n">
        <x:f>C17*D17</x:f>
        <x:v>4.45402</x:v>
      </x:c>
      <x:c r="F17" s="30" t="str">
        <x:v>Aug 2026</x:v>
      </x:c>
    </x:row>
    <x:row r="18" ht="23" customHeight="1">
      <x:c r="A18" s="2"/>
      <x:c r="B18" s="2"/>
      <x:c r="C18" s="2"/>
      <x:c r="D18" s="2"/>
      <x:c r="E18" s="2"/>
      <x:c r="F18" s="2"/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</x:sheetData>
  <x:pageMargins left="0.7" right="0.7" top="0.75" bottom="0.75" header="0.3" footer="0.3"/>
  <x:tableParts count="1">
    <x:tablePart xmlns:r="http://schemas.openxmlformats.org/officeDocument/2006/relationships" r:id="Rb2f88c70d6c140c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0" customHeight="1">
      <x:c r="A2" s="3" t="str">
        <x:v>Geography and unclassified volume</x:v>
      </x:c>
      <x:c r="B2" s="2"/>
      <x:c r="C2" s="2"/>
      <x:c r="D2" s="2"/>
      <x:c r="E2" s="2"/>
      <x:c r="F2" s="2"/>
    </x:row>
    <x:row r="3" ht="23" customHeight="1">
      <x:c r="A3" s="4" t="str">
        <x:v>Source: https://data.indiadispatch.com/payments | Aug 2026. Rounded state and territory observations.</x:v>
      </x:c>
      <x:c r="B3" s="2"/>
      <x:c r="C3" s="2"/>
      <x:c r="D3" s="2"/>
      <x:c r="E3" s="2"/>
      <x:c r="F3" s="2"/>
    </x:row>
    <x:row r="4" ht="23" customHeight="1">
      <x:c r="A4" s="4" t="str">
        <x:v>Source percentages below 0.01% remain labelled. Calculated shares use the official national denominator.</x:v>
      </x:c>
      <x:c r="B4" s="2"/>
      <x:c r="C4" s="2"/>
      <x:c r="D4" s="2"/>
      <x:c r="E4" s="2"/>
      <x:c r="F4" s="2"/>
    </x:row>
    <x:row r="5" ht="35" customHeight="1">
      <x:c r="A5" s="8" t="str">
        <x:v>State / territory</x:v>
      </x:c>
      <x:c r="B5" s="8" t="str">
        <x:v>Volume (mn)</x:v>
      </x:c>
      <x:c r="C5" s="8" t="str">
        <x:v>Value (INR cr)</x:v>
      </x:c>
      <x:c r="D5" s="8" t="str">
        <x:v>National share</x:v>
      </x:c>
      <x:c r="E5" s="8" t="str">
        <x:v>Reported share</x:v>
      </x:c>
      <x:c r="F5" s="8" t="str">
        <x:v>Ticket (INR)</x:v>
      </x:c>
    </x:row>
    <x:row r="6" ht="28" customHeight="1">
      <x:c r="A6" s="13" t="str">
        <x:v>Maharashtra</x:v>
      </x:c>
      <x:c r="B6" s="14" t="n">
        <x:v>2390</x:v>
      </x:c>
      <x:c r="C6" s="14" t="n">
        <x:v>278000</x:v>
      </x:c>
      <x:c r="D6" s="15" t="n">
        <x:f>B6/'Monthly'!$B$53</x:f>
        <x:v>0.09751535764879457</x:v>
      </x:c>
      <x:c r="E6" s="31" t="str">
        <x:v>9.74%</x:v>
      </x:c>
      <x:c r="F6" s="17" t="n">
        <x:f>C6*10/B6</x:f>
        <x:v>1163.1799163179917</x:v>
      </x:c>
    </x:row>
    <x:row r="7" ht="28" customHeight="1">
      <x:c r="A7" s="13" t="str">
        <x:v>Karnataka</x:v>
      </x:c>
      <x:c r="B7" s="14" t="n">
        <x:v>1270</x:v>
      </x:c>
      <x:c r="C7" s="14" t="n">
        <x:v>176000</x:v>
      </x:c>
      <x:c r="D7" s="15" t="n">
        <x:f>B7/'Monthly'!$B$53</x:f>
        <x:v>0.05181778418994523</x:v>
      </x:c>
      <x:c r="E7" s="31" t="str">
        <x:v>5.17%</x:v>
      </x:c>
      <x:c r="F7" s="17" t="n">
        <x:f>C7*10/B7</x:f>
        <x:v>1385.8267716535433</x:v>
      </x:c>
    </x:row>
    <x:row r="8" ht="28" customHeight="1">
      <x:c r="A8" s="13" t="str">
        <x:v>Uttar Pradesh</x:v>
      </x:c>
      <x:c r="B8" s="14" t="n">
        <x:v>1260</x:v>
      </x:c>
      <x:c r="C8" s="14" t="n">
        <x:v>153000</x:v>
      </x:c>
      <x:c r="D8" s="15" t="n">
        <x:f>B8/'Monthly'!$B$53</x:f>
        <x:v>0.051409770141205506</x:v>
      </x:c>
      <x:c r="E8" s="31" t="str">
        <x:v>5.16%</x:v>
      </x:c>
      <x:c r="F8" s="17" t="n">
        <x:f>C8*10/B8</x:f>
        <x:v>1214.2857142857142</x:v>
      </x:c>
    </x:row>
    <x:row r="9" ht="28" customHeight="1">
      <x:c r="A9" s="13" t="str">
        <x:v>Tamil Nadu</x:v>
      </x:c>
      <x:c r="B9" s="14" t="n">
        <x:v>998.6</x:v>
      </x:c>
      <x:c r="C9" s="14" t="n">
        <x:v>150000</x:v>
      </x:c>
      <x:c r="D9" s="15" t="n">
        <x:f>B9/'Monthly'!$B$53</x:f>
        <x:v>0.040744282907149064</x:v>
      </x:c>
      <x:c r="E9" s="31" t="str">
        <x:v>4.07%</x:v>
      </x:c>
      <x:c r="F9" s="17" t="n">
        <x:f>C9*10/B9</x:f>
        <x:v>1502.1029441217704</x:v>
      </x:c>
    </x:row>
    <x:row r="10" ht="28" customHeight="1">
      <x:c r="A10" s="13" t="str">
        <x:v>Telangana</x:v>
      </x:c>
      <x:c r="B10" s="14" t="n">
        <x:v>964.2</x:v>
      </x:c>
      <x:c r="C10" s="14" t="n">
        <x:v>147000</x:v>
      </x:c>
      <x:c r="D10" s="15" t="n">
        <x:f>B10/'Monthly'!$B$53</x:f>
        <x:v>0.039340714579484404</x:v>
      </x:c>
      <x:c r="E10" s="31" t="str">
        <x:v>3.93%</x:v>
      </x:c>
      <x:c r="F10" s="17" t="n">
        <x:f>C10*10/B10</x:f>
        <x:v>1524.5799626633477</x:v>
      </x:c>
    </x:row>
    <x:row r="11" ht="28" customHeight="1">
      <x:c r="A11" s="13" t="str">
        <x:v>Andhra Pradesh</x:v>
      </x:c>
      <x:c r="B11" s="14" t="n">
        <x:v>691.9</x:v>
      </x:c>
      <x:c r="C11" s="14" t="n">
        <x:v>112000</x:v>
      </x:c>
      <x:c r="D11" s="15" t="n">
        <x:f>B11/'Monthly'!$B$53</x:f>
        <x:v>0.028230492032301657</x:v>
      </x:c>
      <x:c r="E11" s="31" t="str">
        <x:v>2.82%</x:v>
      </x:c>
      <x:c r="F11" s="17" t="n">
        <x:f>C11*10/B11</x:f>
        <x:v>1618.7310304957364</x:v>
      </x:c>
    </x:row>
    <x:row r="12" ht="28" customHeight="1">
      <x:c r="A12" s="13" t="str">
        <x:v>Gujarat</x:v>
      </x:c>
      <x:c r="B12" s="14" t="n">
        <x:v>624.4</x:v>
      </x:c>
      <x:c r="C12" s="14" t="n">
        <x:v>92469</x:v>
      </x:c>
      <x:c r="D12" s="15" t="n">
        <x:f>B12/'Monthly'!$B$53</x:f>
        <x:v>0.025476397203308503</x:v>
      </x:c>
      <x:c r="E12" s="31" t="str">
        <x:v>2.55%</x:v>
      </x:c>
      <x:c r="F12" s="17" t="n">
        <x:f>C12*10/B12</x:f>
        <x:v>1480.9256886611147</x:v>
      </x:c>
    </x:row>
    <x:row r="13" ht="28" customHeight="1">
      <x:c r="A13" s="13" t="str">
        <x:v>Rajasthan</x:v>
      </x:c>
      <x:c r="B13" s="14" t="n">
        <x:v>612.2</x:v>
      </x:c>
      <x:c r="C13" s="14" t="n">
        <x:v>85756</x:v>
      </x:c>
      <x:c r="D13" s="15" t="n">
        <x:f>B13/'Monthly'!$B$53</x:f>
        <x:v>0.02497862006384604</x:v>
      </x:c>
      <x:c r="E13" s="31" t="str">
        <x:v>2.5%</x:v>
      </x:c>
      <x:c r="F13" s="17" t="n">
        <x:f>C13*10/B13</x:f>
        <x:v>1400.7840574975496</x:v>
      </x:c>
    </x:row>
    <x:row r="14" ht="28" customHeight="1">
      <x:c r="A14" s="13" t="str">
        <x:v>Delhi</x:v>
      </x:c>
      <x:c r="B14" s="14" t="n">
        <x:v>569.8</x:v>
      </x:c>
      <x:c r="C14" s="14" t="n">
        <x:v>72775</x:v>
      </x:c>
      <x:c r="D14" s="15" t="n">
        <x:f>B14/'Monthly'!$B$53</x:f>
        <x:v>0.0232486404971896</x:v>
      </x:c>
      <x:c r="E14" s="31" t="str">
        <x:v>2.32%</x:v>
      </x:c>
      <x:c r="F14" s="17" t="n">
        <x:f>C14*10/B14</x:f>
        <x:v>1277.2025272025273</x:v>
      </x:c>
    </x:row>
    <x:row r="15" ht="28" customHeight="1">
      <x:c r="A15" s="13" t="str">
        <x:v>West Bengal</x:v>
      </x:c>
      <x:c r="B15" s="14" t="n">
        <x:v>521.1</x:v>
      </x:c>
      <x:c r="C15" s="14" t="n">
        <x:v>70678</x:v>
      </x:c>
      <x:c r="D15" s="15" t="n">
        <x:f>B15/'Monthly'!$B$53</x:f>
        <x:v>0.021261612079827134</x:v>
      </x:c>
      <x:c r="E15" s="31" t="str">
        <x:v>2.13%</x:v>
      </x:c>
      <x:c r="F15" s="17" t="n">
        <x:f>C15*10/B15</x:f>
        <x:v>1356.323162540779</x:v>
      </x:c>
    </x:row>
    <x:row r="16" ht="28" customHeight="1">
      <x:c r="A16" s="13" t="str">
        <x:v>Kerala</x:v>
      </x:c>
      <x:c r="B16" s="14" t="n">
        <x:v>509.6</x:v>
      </x:c>
      <x:c r="C16" s="14" t="n">
        <x:v>71042</x:v>
      </x:c>
      <x:c r="D16" s="15" t="n">
        <x:f>B16/'Monthly'!$B$53</x:f>
        <x:v>0.02079239592377645</x:v>
      </x:c>
      <x:c r="E16" s="31" t="str">
        <x:v>2.08%</x:v>
      </x:c>
      <x:c r="F16" s="17" t="n">
        <x:f>C16*10/B16</x:f>
        <x:v>1394.0737833594976</x:v>
      </x:c>
    </x:row>
    <x:row r="17" ht="28" customHeight="1">
      <x:c r="A17" s="13" t="str">
        <x:v>Madhya Pradesh</x:v>
      </x:c>
      <x:c r="B17" s="14" t="n">
        <x:v>507.9</x:v>
      </x:c>
      <x:c r="C17" s="14" t="n">
        <x:v>63628</x:v>
      </x:c>
      <x:c r="D17" s="15" t="n">
        <x:f>B17/'Monthly'!$B$53</x:f>
        <x:v>0.020723033535490695</x:v>
      </x:c>
      <x:c r="E17" s="31" t="str">
        <x:v>2.07%</x:v>
      </x:c>
      <x:c r="F17" s="17" t="n">
        <x:f>C17*10/B17</x:f>
        <x:v>1252.766292577279</x:v>
      </x:c>
    </x:row>
    <x:row r="18" ht="28" customHeight="1">
      <x:c r="A18" s="13" t="str">
        <x:v>Bihar</x:v>
      </x:c>
      <x:c r="B18" s="14" t="n">
        <x:v>501.9</x:v>
      </x:c>
      <x:c r="C18" s="14" t="n">
        <x:v>64603</x:v>
      </x:c>
      <x:c r="D18" s="15" t="n">
        <x:f>B18/'Monthly'!$B$53</x:f>
        <x:v>0.020478225106246858</x:v>
      </x:c>
      <x:c r="E18" s="31" t="str">
        <x:v>2.05%</x:v>
      </x:c>
      <x:c r="F18" s="17" t="n">
        <x:f>C18*10/B18</x:f>
        <x:v>1287.168758716876</x:v>
      </x:c>
    </x:row>
    <x:row r="19" ht="28" customHeight="1">
      <x:c r="A19" s="13" t="str">
        <x:v>Haryana</x:v>
      </x:c>
      <x:c r="B19" s="14" t="n">
        <x:v>469.2</x:v>
      </x:c>
      <x:c r="C19" s="14" t="n">
        <x:v>64236</x:v>
      </x:c>
      <x:c r="D19" s="15" t="n">
        <x:f>B19/'Monthly'!$B$53</x:f>
        <x:v>0.019144019166867955</x:v>
      </x:c>
      <x:c r="E19" s="31" t="str">
        <x:v>1.91%</x:v>
      </x:c>
      <x:c r="F19" s="17" t="n">
        <x:f>C19*10/B19</x:f>
        <x:v>1369.0537084398977</x:v>
      </x:c>
    </x:row>
    <x:row r="20" ht="28" customHeight="1">
      <x:c r="A20" s="13" t="str">
        <x:v>Odisha</x:v>
      </x:c>
      <x:c r="B20" s="14" t="n">
        <x:v>316.9</x:v>
      </x:c>
      <x:c r="C20" s="14" t="n">
        <x:v>38634</x:v>
      </x:c>
      <x:c r="D20" s="15" t="n">
        <x:f>B20/'Monthly'!$B$53</x:f>
        <x:v>0.012929965204561923</x:v>
      </x:c>
      <x:c r="E20" s="31" t="str">
        <x:v>1.29%</x:v>
      </x:c>
      <x:c r="F20" s="17" t="n">
        <x:f>C20*10/B20</x:f>
        <x:v>1219.1227516566742</x:v>
      </x:c>
    </x:row>
    <x:row r="21" ht="28" customHeight="1">
      <x:c r="A21" s="13" t="str">
        <x:v>Punjab</x:v>
      </x:c>
      <x:c r="B21" s="14" t="n">
        <x:v>260.7</x:v>
      </x:c>
      <x:c r="C21" s="14" t="n">
        <x:v>41883</x:v>
      </x:c>
      <x:c r="D21" s="15" t="n">
        <x:f>B21/'Monthly'!$B$53</x:f>
        <x:v>0.010636926250644663</x:v>
      </x:c>
      <x:c r="E21" s="31" t="str">
        <x:v>1.06%</x:v>
      </x:c>
      <x:c r="F21" s="17" t="n">
        <x:f>C21*10/B21</x:f>
        <x:v>1606.5592635212888</x:v>
      </x:c>
    </x:row>
    <x:row r="22" ht="28" customHeight="1">
      <x:c r="A22" s="13" t="str">
        <x:v>Assam</x:v>
      </x:c>
      <x:c r="B22" s="14" t="n">
        <x:v>254.7</x:v>
      </x:c>
      <x:c r="C22" s="14" t="n">
        <x:v>25356</x:v>
      </x:c>
      <x:c r="D22" s="15" t="n">
        <x:f>B22/'Monthly'!$B$53</x:f>
        <x:v>0.010392117821400827</x:v>
      </x:c>
      <x:c r="E22" s="31" t="str">
        <x:v>1.04%</x:v>
      </x:c>
      <x:c r="F22" s="17" t="n">
        <x:f>C22*10/B22</x:f>
        <x:v>995.5241460541814</x:v>
      </x:c>
    </x:row>
    <x:row r="23" ht="28" customHeight="1">
      <x:c r="A23" s="13" t="str">
        <x:v>Jharkhand</x:v>
      </x:c>
      <x:c r="B23" s="14" t="n">
        <x:v>201.3</x:v>
      </x:c>
      <x:c r="C23" s="14" t="n">
        <x:v>24297</x:v>
      </x:c>
      <x:c r="D23" s="15" t="n">
        <x:f>B23/'Monthly'!$B$53</x:f>
        <x:v>0.00821332280113069</x:v>
      </x:c>
      <x:c r="E23" s="31" t="str">
        <x:v>0.82%</x:v>
      </x:c>
      <x:c r="F23" s="17" t="n">
        <x:f>C23*10/B23</x:f>
        <x:v>1207.0044709388972</x:v>
      </x:c>
    </x:row>
    <x:row r="24" ht="28" customHeight="1">
      <x:c r="A24" s="13" t="str">
        <x:v>Chhattisgarh</x:v>
      </x:c>
      <x:c r="B24" s="14" t="n">
        <x:v>155.2</x:v>
      </x:c>
      <x:c r="C24" s="14" t="n">
        <x:v>18716</x:v>
      </x:c>
      <x:c r="D24" s="15" t="n">
        <x:f>B24/'Monthly'!$B$53</x:f>
        <x:v>0.006332378036440551</x:v>
      </x:c>
      <x:c r="E24" s="31" t="str">
        <x:v>0.63%</x:v>
      </x:c>
      <x:c r="F24" s="17" t="n">
        <x:f>C24*10/B24</x:f>
        <x:v>1205.9278350515465</x:v>
      </x:c>
    </x:row>
    <x:row r="25" ht="28" customHeight="1">
      <x:c r="A25" s="13" t="str">
        <x:v>Uttarakhand</x:v>
      </x:c>
      <x:c r="B25" s="14" t="n">
        <x:v>133.2</x:v>
      </x:c>
      <x:c r="C25" s="14" t="n">
        <x:v>15784</x:v>
      </x:c>
      <x:c r="D25" s="15" t="n">
        <x:f>B25/'Monthly'!$B$53</x:f>
        <x:v>0.0054347471292131525</x:v>
      </x:c>
      <x:c r="E25" s="31" t="str">
        <x:v>0.54%</x:v>
      </x:c>
      <x:c r="F25" s="17" t="n">
        <x:f>C25*10/B25</x:f>
        <x:v>1184.984984984985</x:v>
      </x:c>
    </x:row>
    <x:row r="26" ht="28" customHeight="1">
      <x:c r="A26" s="13" t="str">
        <x:v>Jammu and Kashmir</x:v>
      </x:c>
      <x:c r="B26" s="14" t="n">
        <x:v>108.1</x:v>
      </x:c>
      <x:c r="C26" s="14" t="n">
        <x:v>13577</x:v>
      </x:c>
      <x:c r="D26" s="15" t="n">
        <x:f>B26/'Monthly'!$B$53</x:f>
        <x:v>0.00441063186687644</x:v>
      </x:c>
      <x:c r="E26" s="31" t="str">
        <x:v>0.44%</x:v>
      </x:c>
      <x:c r="F26" s="17" t="n">
        <x:f>C26*10/B26</x:f>
        <x:v>1255.9666975023126</x:v>
      </x:c>
    </x:row>
    <x:row r="27" ht="28" customHeight="1">
      <x:c r="A27" s="13" t="str">
        <x:v>Himachal Pradesh</x:v>
      </x:c>
      <x:c r="B27" s="14" t="n">
        <x:v>67</x:v>
      </x:c>
      <x:c r="C27" s="14" t="n">
        <x:v>8429</x:v>
      </x:c>
      <x:c r="D27" s="15" t="n">
        <x:f>B27/'Monthly'!$B$53</x:f>
        <x:v>0.0027336941265561658</x:v>
      </x:c>
      <x:c r="E27" s="31" t="str">
        <x:v>0.27%</x:v>
      </x:c>
      <x:c r="F27" s="17" t="n">
        <x:f>C27*10/B27</x:f>
        <x:v>1258.0597014925372</x:v>
      </x:c>
    </x:row>
    <x:row r="28" ht="28" customHeight="1">
      <x:c r="A28" s="13" t="str">
        <x:v>Goa</x:v>
      </x:c>
      <x:c r="B28" s="14" t="n">
        <x:v>38.2</x:v>
      </x:c>
      <x:c r="C28" s="14" t="n">
        <x:v>5589</x:v>
      </x:c>
      <x:c r="D28" s="15" t="n">
        <x:f>B28/'Monthly'!$B$53</x:f>
        <x:v>0.0015586136661857543</x:v>
      </x:c>
      <x:c r="E28" s="31" t="str">
        <x:v>0.16%</x:v>
      </x:c>
      <x:c r="F28" s="17" t="n">
        <x:f>C28*10/B28</x:f>
        <x:v>1463.089005235602</x:v>
      </x:c>
    </x:row>
    <x:row r="29" ht="28" customHeight="1">
      <x:c r="A29" s="13" t="str">
        <x:v>Chandigarh</x:v>
      </x:c>
      <x:c r="B29" s="14" t="n">
        <x:v>30.6</x:v>
      </x:c>
      <x:c r="C29" s="14" t="n">
        <x:v>3732</x:v>
      </x:c>
      <x:c r="D29" s="15" t="n">
        <x:f>B29/'Monthly'!$B$53</x:f>
        <x:v>0.0012485229891435624</x:v>
      </x:c>
      <x:c r="E29" s="31" t="str">
        <x:v>0.12%</x:v>
      </x:c>
      <x:c r="F29" s="17" t="n">
        <x:f>C29*10/B29</x:f>
        <x:v>1219.6078431372548</x:v>
      </x:c>
    </x:row>
    <x:row r="30" ht="28" customHeight="1">
      <x:c r="A30" s="13" t="str">
        <x:v>Arunachal Pradesh</x:v>
      </x:c>
      <x:c r="B30" s="14" t="n">
        <x:v>27.3</x:v>
      </x:c>
      <x:c r="C30" s="14" t="n">
        <x:v>3439</x:v>
      </x:c>
      <x:c r="D30" s="15" t="n">
        <x:f>B30/'Monthly'!$B$53</x:f>
        <x:v>0.0011138783530594526</x:v>
      </x:c>
      <x:c r="E30" s="31" t="str">
        <x:v>0.11%</x:v>
      </x:c>
      <x:c r="F30" s="17" t="n">
        <x:f>C30*10/B30</x:f>
        <x:v>1259.7069597069597</x:v>
      </x:c>
    </x:row>
    <x:row r="31" ht="28" customHeight="1">
      <x:c r="A31" s="13" t="str">
        <x:v>Puducherry</x:v>
      </x:c>
      <x:c r="B31" s="14" t="n">
        <x:v>23</x:v>
      </x:c>
      <x:c r="C31" s="14" t="n">
        <x:v>3187</x:v>
      </x:c>
      <x:c r="D31" s="15" t="n">
        <x:f>B31/'Monthly'!$B$53</x:f>
        <x:v>0.0009384323121013704</x:v>
      </x:c>
      <x:c r="E31" s="31" t="str">
        <x:v>0.09%</x:v>
      </x:c>
      <x:c r="F31" s="17" t="n">
        <x:f>C31*10/B31</x:f>
        <x:v>1385.6521739130435</x:v>
      </x:c>
    </x:row>
    <x:row r="32" ht="28" customHeight="1">
      <x:c r="A32" s="13" t="str">
        <x:v>Meghalaya</x:v>
      </x:c>
      <x:c r="B32" s="14" t="n">
        <x:v>20.3</x:v>
      </x:c>
      <x:c r="C32" s="14" t="n">
        <x:v>2352</x:v>
      </x:c>
      <x:c r="D32" s="15" t="n">
        <x:f>B32/'Monthly'!$B$53</x:f>
        <x:v>0.0008282685189416443</x:v>
      </x:c>
      <x:c r="E32" s="31" t="str">
        <x:v>0.08%</x:v>
      </x:c>
      <x:c r="F32" s="17" t="n">
        <x:f>C32*10/B32</x:f>
        <x:v>1158.6206896551723</x:v>
      </x:c>
    </x:row>
    <x:row r="33" ht="28" customHeight="1">
      <x:c r="A33" s="13" t="str">
        <x:v>Manipur</x:v>
      </x:c>
      <x:c r="B33" s="14" t="n">
        <x:v>19.3</x:v>
      </x:c>
      <x:c r="C33" s="14" t="n">
        <x:v>3433</x:v>
      </x:c>
      <x:c r="D33" s="15" t="n">
        <x:f>B33/'Monthly'!$B$53</x:f>
        <x:v>0.0007874671140676717</x:v>
      </x:c>
      <x:c r="E33" s="31" t="str">
        <x:v>0.08%</x:v>
      </x:c>
      <x:c r="F33" s="17" t="n">
        <x:f>C33*10/B33</x:f>
        <x:v>1778.7564766839378</x:v>
      </x:c>
    </x:row>
    <x:row r="34" ht="28" customHeight="1">
      <x:c r="A34" s="13" t="str">
        <x:v>Tripura</x:v>
      </x:c>
      <x:c r="B34" s="14" t="n">
        <x:v>18.5</x:v>
      </x:c>
      <x:c r="C34" s="14" t="n">
        <x:v>2305</x:v>
      </x:c>
      <x:c r="D34" s="15" t="n">
        <x:f>B34/'Monthly'!$B$53</x:f>
        <x:v>0.0007548259901684935</x:v>
      </x:c>
      <x:c r="E34" s="31" t="str">
        <x:v>0.08%</x:v>
      </x:c>
      <x:c r="F34" s="17" t="n">
        <x:f>C34*10/B34</x:f>
        <x:v>1245.945945945946</x:v>
      </x:c>
    </x:row>
    <x:row r="35" ht="28" customHeight="1">
      <x:c r="A35" s="13" t="str">
        <x:v>Mizoram</x:v>
      </x:c>
      <x:c r="B35" s="14" t="n">
        <x:v>16.4</x:v>
      </x:c>
      <x:c r="C35" s="14" t="n">
        <x:v>2170</x:v>
      </x:c>
      <x:c r="D35" s="15" t="n">
        <x:f>B35/'Monthly'!$B$53</x:f>
        <x:v>0.0006691430399331509</x:v>
      </x:c>
      <x:c r="E35" s="31" t="str">
        <x:v>0.07%</x:v>
      </x:c>
      <x:c r="F35" s="17" t="n">
        <x:f>C35*10/B35</x:f>
        <x:v>1323.1707317073171</x:v>
      </x:c>
    </x:row>
    <x:row r="36" ht="28" customHeight="1">
      <x:c r="A36" s="13" t="str">
        <x:v>Nagaland</x:v>
      </x:c>
      <x:c r="B36" s="14" t="n">
        <x:v>15.2</x:v>
      </x:c>
      <x:c r="C36" s="14" t="n">
        <x:v>2040</x:v>
      </x:c>
      <x:c r="D36" s="15" t="n">
        <x:f>B36/'Monthly'!$B$53</x:f>
        <x:v>0.0006201813540843838</x:v>
      </x:c>
      <x:c r="E36" s="31" t="str">
        <x:v>0.06%</x:v>
      </x:c>
      <x:c r="F36" s="17" t="n">
        <x:f>C36*10/B36</x:f>
        <x:v>1342.1052631578948</x:v>
      </x:c>
    </x:row>
    <x:row r="37" ht="28" customHeight="1">
      <x:c r="A37" s="13" t="str">
        <x:v>Dadra &amp; Nagar Haveli &amp; Daman &amp; Diu</x:v>
      </x:c>
      <x:c r="B37" s="14" t="n">
        <x:v>11.7</x:v>
      </x:c>
      <x:c r="C37" s="14" t="n">
        <x:v>1263</x:v>
      </x:c>
      <x:c r="D37" s="15" t="n">
        <x:f>B37/'Monthly'!$B$53</x:f>
        <x:v>0.00047737643702547967</x:v>
      </x:c>
      <x:c r="E37" s="31" t="str">
        <x:v>0.05%</x:v>
      </x:c>
      <x:c r="F37" s="17" t="n">
        <x:f>C37*10/B37</x:f>
        <x:v>1079.4871794871794</x:v>
      </x:c>
    </x:row>
    <x:row r="38" ht="28" customHeight="1">
      <x:c r="A38" s="13" t="str">
        <x:v>Sikkim</x:v>
      </x:c>
      <x:c r="B38" s="14" t="n">
        <x:v>10.1</x:v>
      </x:c>
      <x:c r="C38" s="14" t="n">
        <x:v>1267</x:v>
      </x:c>
      <x:c r="D38" s="15" t="n">
        <x:f>B38/'Monthly'!$B$53</x:f>
        <x:v>0.00041209418922712345</x:v>
      </x:c>
      <x:c r="E38" s="31" t="str">
        <x:v>0.04%</x:v>
      </x:c>
      <x:c r="F38" s="17" t="n">
        <x:f>C38*10/B38</x:f>
        <x:v>1254.4554455445545</x:v>
      </x:c>
    </x:row>
    <x:row r="39" ht="28" customHeight="1">
      <x:c r="A39" s="13" t="str">
        <x:v>Ladakh</x:v>
      </x:c>
      <x:c r="B39" s="14" t="n">
        <x:v>5.6</x:v>
      </x:c>
      <x:c r="C39" s="14" t="n">
        <x:v>995</x:v>
      </x:c>
      <x:c r="D39" s="15" t="n">
        <x:f>B39/'Monthly'!$B$53</x:f>
        <x:v>0.00022848786729424666</x:v>
      </x:c>
      <x:c r="E39" s="31" t="str">
        <x:v>0.02%</x:v>
      </x:c>
      <x:c r="F39" s="17" t="n">
        <x:f>C39*10/B39</x:f>
        <x:v>1776.7857142857144</x:v>
      </x:c>
    </x:row>
    <x:row r="40" ht="28" customHeight="1">
      <x:c r="A40" s="13" t="str">
        <x:v>Andaman and Nicobar Islands</x:v>
      </x:c>
      <x:c r="B40" s="14" t="n">
        <x:v>4.5</x:v>
      </x:c>
      <x:c r="C40" s="14" t="n">
        <x:v>648</x:v>
      </x:c>
      <x:c r="D40" s="15" t="n">
        <x:f>B40/'Monthly'!$B$53</x:f>
        <x:v>0.0001836063219328768</x:v>
      </x:c>
      <x:c r="E40" s="31" t="str">
        <x:v>0.02%</x:v>
      </x:c>
      <x:c r="F40" s="17" t="n">
        <x:f>C40*10/B40</x:f>
        <x:v>1440</x:v>
      </x:c>
    </x:row>
    <x:row r="41" ht="28" customHeight="1">
      <x:c r="A41" s="13" t="str">
        <x:v>Lakshadweep</x:v>
      </x:c>
      <x:c r="B41" s="14" t="n">
        <x:v>0.8</x:v>
      </x:c>
      <x:c r="C41" s="14" t="n">
        <x:v>79.385</x:v>
      </x:c>
      <x:c r="D41" s="15" t="n">
        <x:f>B41/'Monthly'!$B$53</x:f>
        <x:v>0.0000326411238991781</x:v>
      </x:c>
      <x:c r="E41" s="31" t="str">
        <x:v>&lt;0.01%</x:v>
      </x:c>
      <x:c r="F41" s="17" t="n">
        <x:f>C41*10/B41</x:f>
        <x:v>992.3125</x:v>
      </x:c>
    </x:row>
    <x:row r="42" ht="28" customHeight="1">
      <x:c r="A42" s="13" t="str">
        <x:v>Unclassified</x:v>
      </x:c>
      <x:c r="B42" s="14" t="n">
        <x:v>10880</x:v>
      </x:c>
      <x:c r="C42" s="14" t="n">
        <x:v>1162000</x:v>
      </x:c>
      <x:c r="D42" s="15" t="n">
        <x:f>B42/'Monthly'!$B$53</x:f>
        <x:v>0.4439192850288221</x:v>
      </x:c>
      <x:c r="E42" s="31" t="str">
        <x:v>44.39%</x:v>
      </x:c>
      <x:c r="F42" s="17" t="n">
        <x:f>C42*10/B42</x:f>
        <x:v>1068.014705882353</x:v>
      </x:c>
    </x:row>
    <x:row r="43" ht="23" customHeight="1">
      <x:c r="A43" s="2"/>
      <x:c r="B43" s="2"/>
      <x:c r="C43" s="2"/>
      <x:c r="D43" s="2"/>
      <x:c r="E43" s="2"/>
      <x:c r="F43" s="2"/>
    </x:row>
    <x:row r="44" ht="23" customHeight="1">
      <x:c r="A44" s="2" t="str">
        <x:v>Rounded rows minus official total (mn)</x:v>
      </x:c>
      <x:c r="B44" s="12" t="n">
        <x:f>SUM(B6:B42)-'Monthly'!B53</x:f>
        <x:v>0.4400000000023283</x:v>
      </x:c>
      <x:c r="C44" s="2"/>
      <x:c r="D44" s="2"/>
      <x:c r="E44" s="2"/>
      <x:c r="F44" s="2"/>
    </x:row>
    <x:row r="45" ht="23" customHeight="1">
      <x:c r="A45" s="2"/>
      <x:c r="B45" s="2"/>
      <x:c r="C45" s="2"/>
      <x:c r="D45" s="2"/>
      <x:c r="E45" s="2"/>
      <x:c r="F45" s="2"/>
    </x:row>
  </x:sheetData>
  <x:pageMargins left="0.7" right="0.7" top="0.75" bottom="0.75" header="0.3" footer="0.3"/>
  <x:tableParts count="1">
    <x:tablePart xmlns:r="http://schemas.openxmlformats.org/officeDocument/2006/relationships" r:id="Rb4e53b5f8e0147d0"/>
  </x:tableParts>
</x:worksheet>
</file>